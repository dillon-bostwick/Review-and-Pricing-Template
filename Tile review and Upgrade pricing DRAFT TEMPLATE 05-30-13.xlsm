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412" codeName="{00000000-0000-0000-0000-000000000000}"/>
  <workbookPr showInkAnnotation="0" codeName="ThisWorkbook" autoCompressPictures="0"/>
  <bookViews>
    <workbookView xWindow="0" yWindow="0" windowWidth="25600" windowHeight="16060"/>
  </bookViews>
  <sheets>
    <sheet name="PKE 18 tile pricing" sheetId="2" r:id="rId1"/>
    <sheet name="Sheet1" sheetId="4" r:id="rId2"/>
    <sheet name="Tile Selections" sheetId="6" r:id="rId3"/>
    <sheet name="Temp" sheetId="9" r:id="rId4"/>
  </sheets>
  <definedNames>
    <definedName name="_xlnm.Print_Area" localSheetId="0">'PKE 18 tile pricing'!$A$1:$X$131</definedName>
    <definedName name="_xlnm.Print_Titles" localSheetId="0">'PKE 18 tile pricing'!$1:$3</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U37" i="2" l="1"/>
  <c r="U44" i="2"/>
  <c r="U51" i="2"/>
  <c r="U58" i="2"/>
  <c r="U65" i="2"/>
  <c r="U29" i="2"/>
  <c r="U14" i="2"/>
  <c r="Q51" i="2"/>
  <c r="Q58" i="2"/>
  <c r="R51" i="2"/>
  <c r="R58" i="2"/>
  <c r="S51" i="2"/>
  <c r="S58" i="2"/>
  <c r="P51" i="2"/>
  <c r="P58" i="2"/>
  <c r="Q65" i="2"/>
  <c r="Q44" i="2"/>
  <c r="Q37" i="2"/>
  <c r="Q29" i="2"/>
  <c r="Q14" i="2"/>
  <c r="P65" i="2"/>
  <c r="P44" i="2"/>
  <c r="P37" i="2"/>
  <c r="P29" i="2"/>
  <c r="P14" i="2"/>
  <c r="R14" i="2"/>
  <c r="S14" i="2"/>
  <c r="R29" i="2"/>
  <c r="S29" i="2"/>
  <c r="R37" i="2"/>
  <c r="S37" i="2"/>
  <c r="R44" i="2"/>
  <c r="S44" i="2"/>
  <c r="R65" i="2"/>
  <c r="S65" i="2"/>
  <c r="F120" i="2"/>
  <c r="F121" i="2"/>
  <c r="F122" i="2"/>
  <c r="H66" i="2"/>
  <c r="M66" i="2"/>
  <c r="N66" i="2"/>
  <c r="O66" i="2"/>
  <c r="J101" i="2"/>
  <c r="J68" i="2"/>
  <c r="H101" i="2"/>
  <c r="I101" i="2"/>
  <c r="N68" i="2"/>
  <c r="O68" i="2"/>
  <c r="J98" i="2"/>
  <c r="J70" i="2"/>
  <c r="H98" i="2"/>
  <c r="I98" i="2"/>
  <c r="N70" i="2"/>
  <c r="O70" i="2"/>
  <c r="O71" i="2"/>
  <c r="J91" i="2"/>
  <c r="J40" i="2"/>
  <c r="H91" i="2"/>
  <c r="I91" i="2"/>
  <c r="N40" i="2"/>
  <c r="O40" i="2"/>
  <c r="J38" i="2"/>
  <c r="N38" i="2"/>
  <c r="O38" i="2"/>
  <c r="J39" i="2"/>
  <c r="N39" i="2"/>
  <c r="O39" i="2"/>
  <c r="J113" i="2"/>
  <c r="J41" i="2"/>
  <c r="H113" i="2"/>
  <c r="H116" i="2"/>
  <c r="I113" i="2"/>
  <c r="N41" i="2"/>
  <c r="O41" i="2"/>
  <c r="O42" i="2"/>
  <c r="H26" i="2"/>
  <c r="L26" i="2"/>
  <c r="I26" i="2"/>
  <c r="M26" i="2"/>
  <c r="N26" i="2"/>
  <c r="O26" i="2"/>
  <c r="J15" i="2"/>
  <c r="N15" i="2"/>
  <c r="O15" i="2"/>
  <c r="J17" i="2"/>
  <c r="N17" i="2"/>
  <c r="O17" i="2"/>
  <c r="H18" i="2"/>
  <c r="M18" i="2"/>
  <c r="N18" i="2"/>
  <c r="O18" i="2"/>
  <c r="J19" i="2"/>
  <c r="N19" i="2"/>
  <c r="O19" i="2"/>
  <c r="J20" i="2"/>
  <c r="N20" i="2"/>
  <c r="O20" i="2"/>
  <c r="J22" i="2"/>
  <c r="N22" i="2"/>
  <c r="O22" i="2"/>
  <c r="H23" i="2"/>
  <c r="M23" i="2"/>
  <c r="N23" i="2"/>
  <c r="O23" i="2"/>
  <c r="J24" i="2"/>
  <c r="N24" i="2"/>
  <c r="O24" i="2"/>
  <c r="J25" i="2"/>
  <c r="N25" i="2"/>
  <c r="O25" i="2"/>
  <c r="O27" i="2"/>
  <c r="J83" i="2"/>
  <c r="J84" i="2"/>
  <c r="J85" i="2"/>
  <c r="J86" i="2"/>
  <c r="J87" i="2"/>
  <c r="J88" i="2"/>
  <c r="J89" i="2"/>
  <c r="J90" i="2"/>
  <c r="J92" i="2"/>
  <c r="J93" i="2"/>
  <c r="J94" i="2"/>
  <c r="J95" i="2"/>
  <c r="J96" i="2"/>
  <c r="J97" i="2"/>
  <c r="J99" i="2"/>
  <c r="J100" i="2"/>
  <c r="H5" i="2"/>
  <c r="L5" i="2"/>
  <c r="I5" i="2"/>
  <c r="M5" i="2"/>
  <c r="J5" i="2"/>
  <c r="H97" i="2"/>
  <c r="I97" i="2"/>
  <c r="N5" i="2"/>
  <c r="O5" i="2"/>
  <c r="J7" i="2"/>
  <c r="H96" i="2"/>
  <c r="I96" i="2"/>
  <c r="N7" i="2"/>
  <c r="O7" i="2"/>
  <c r="J8" i="2"/>
  <c r="H95" i="2"/>
  <c r="I95" i="2"/>
  <c r="N8" i="2"/>
  <c r="O8" i="2"/>
  <c r="J10" i="2"/>
  <c r="N10" i="2"/>
  <c r="O10" i="2"/>
  <c r="J11" i="2"/>
  <c r="N11" i="2"/>
  <c r="O11" i="2"/>
  <c r="O12" i="2"/>
  <c r="J59" i="2"/>
  <c r="N59" i="2"/>
  <c r="O59" i="2"/>
  <c r="J60" i="2"/>
  <c r="N60" i="2"/>
  <c r="O60" i="2"/>
  <c r="H61" i="2"/>
  <c r="M61" i="2"/>
  <c r="N61" i="2"/>
  <c r="O61" i="2"/>
  <c r="J116" i="2"/>
  <c r="J62" i="2"/>
  <c r="I116" i="2"/>
  <c r="N62" i="2"/>
  <c r="O62" i="2"/>
  <c r="O63" i="2"/>
  <c r="J45" i="2"/>
  <c r="N45" i="2"/>
  <c r="O45" i="2"/>
  <c r="J46" i="2"/>
  <c r="N46" i="2"/>
  <c r="O46" i="2"/>
  <c r="H47" i="2"/>
  <c r="M47" i="2"/>
  <c r="N47" i="2"/>
  <c r="O47" i="2"/>
  <c r="J48" i="2"/>
  <c r="N48" i="2"/>
  <c r="O48" i="2"/>
  <c r="O49" i="2"/>
  <c r="J52" i="2"/>
  <c r="N52" i="2"/>
  <c r="O52" i="2"/>
  <c r="J53" i="2"/>
  <c r="N53" i="2"/>
  <c r="O53" i="2"/>
  <c r="H54" i="2"/>
  <c r="M54" i="2"/>
  <c r="N54" i="2"/>
  <c r="O54" i="2"/>
  <c r="J55" i="2"/>
  <c r="N55" i="2"/>
  <c r="O55" i="2"/>
  <c r="O56" i="2"/>
  <c r="J30" i="2"/>
  <c r="N30" i="2"/>
  <c r="O30" i="2"/>
  <c r="J31" i="2"/>
  <c r="N31" i="2"/>
  <c r="O31" i="2"/>
  <c r="J32" i="2"/>
  <c r="N32" i="2"/>
  <c r="O32" i="2"/>
  <c r="H33" i="2"/>
  <c r="M33" i="2"/>
  <c r="N33" i="2"/>
  <c r="O33" i="2"/>
  <c r="J34" i="2"/>
  <c r="N34" i="2"/>
  <c r="O34" i="2"/>
  <c r="O35" i="2"/>
  <c r="O74" i="2"/>
  <c r="J66" i="2"/>
  <c r="J61" i="2"/>
  <c r="J54" i="2"/>
  <c r="J47" i="2"/>
  <c r="J33" i="2"/>
  <c r="J26" i="2"/>
  <c r="J23" i="2"/>
  <c r="J18" i="2"/>
  <c r="C38" i="2"/>
  <c r="B38" i="2"/>
  <c r="H70" i="2"/>
  <c r="I70" i="2"/>
  <c r="L70" i="2"/>
  <c r="M70" i="2"/>
  <c r="H40" i="2"/>
  <c r="L40" i="2"/>
  <c r="I40" i="2"/>
  <c r="M40" i="2"/>
  <c r="H90" i="2"/>
  <c r="I90" i="2"/>
  <c r="H8" i="2"/>
  <c r="H7" i="2"/>
  <c r="H11" i="2"/>
  <c r="H10" i="2"/>
  <c r="H15" i="2"/>
  <c r="J107" i="2"/>
  <c r="J108" i="2"/>
  <c r="J109" i="2"/>
  <c r="J110" i="2"/>
  <c r="J111" i="2"/>
  <c r="J112" i="2"/>
  <c r="J114" i="2"/>
  <c r="J115" i="2"/>
  <c r="H20" i="2"/>
  <c r="H19" i="2"/>
  <c r="H17" i="2"/>
  <c r="H22" i="2"/>
  <c r="H25" i="2"/>
  <c r="H24" i="2"/>
  <c r="H34" i="2"/>
  <c r="H32" i="2"/>
  <c r="H31" i="2"/>
  <c r="H30" i="2"/>
  <c r="H68" i="2"/>
  <c r="H62" i="2"/>
  <c r="H60" i="2"/>
  <c r="H59" i="2"/>
  <c r="H55" i="2"/>
  <c r="H53" i="2"/>
  <c r="H52" i="2"/>
  <c r="H48" i="2"/>
  <c r="H46" i="2"/>
  <c r="H45" i="2"/>
  <c r="H41" i="2"/>
  <c r="H38" i="2"/>
  <c r="H39" i="2"/>
  <c r="H100" i="2"/>
  <c r="I100" i="2"/>
  <c r="H99" i="2"/>
  <c r="I99" i="2"/>
  <c r="H94" i="2"/>
  <c r="I94" i="2"/>
  <c r="H93" i="2"/>
  <c r="I93" i="2"/>
  <c r="H92" i="2"/>
  <c r="I92" i="2"/>
  <c r="H89" i="2"/>
  <c r="I89" i="2"/>
  <c r="H88" i="2"/>
  <c r="I88" i="2"/>
  <c r="H87" i="2"/>
  <c r="I87" i="2"/>
  <c r="H86" i="2"/>
  <c r="I86" i="2"/>
  <c r="H85" i="2"/>
  <c r="I85" i="2"/>
  <c r="H84" i="2"/>
  <c r="I84" i="2"/>
  <c r="H83" i="2"/>
  <c r="I83" i="2"/>
  <c r="X65" i="2"/>
  <c r="W65" i="2"/>
  <c r="V65" i="2"/>
  <c r="T65" i="2"/>
  <c r="O65" i="2"/>
  <c r="N65" i="2"/>
  <c r="M65" i="2"/>
  <c r="L65" i="2"/>
  <c r="K65" i="2"/>
  <c r="J65" i="2"/>
  <c r="I65" i="2"/>
  <c r="H65" i="2"/>
  <c r="G65" i="2"/>
  <c r="F65" i="2"/>
  <c r="E65" i="2"/>
  <c r="D65" i="2"/>
  <c r="C65" i="2"/>
  <c r="B65" i="2"/>
  <c r="X58" i="2"/>
  <c r="W58" i="2"/>
  <c r="V58" i="2"/>
  <c r="T58" i="2"/>
  <c r="O58" i="2"/>
  <c r="N58" i="2"/>
  <c r="M58" i="2"/>
  <c r="L58" i="2"/>
  <c r="K58" i="2"/>
  <c r="J58" i="2"/>
  <c r="I58" i="2"/>
  <c r="H58" i="2"/>
  <c r="G58" i="2"/>
  <c r="F58" i="2"/>
  <c r="E58" i="2"/>
  <c r="D58" i="2"/>
  <c r="C58" i="2"/>
  <c r="B58" i="2"/>
  <c r="X51" i="2"/>
  <c r="W51" i="2"/>
  <c r="V51" i="2"/>
  <c r="T51" i="2"/>
  <c r="O51" i="2"/>
  <c r="N51" i="2"/>
  <c r="M51" i="2"/>
  <c r="L51" i="2"/>
  <c r="K51" i="2"/>
  <c r="J51" i="2"/>
  <c r="I51" i="2"/>
  <c r="H51" i="2"/>
  <c r="G51" i="2"/>
  <c r="F51" i="2"/>
  <c r="E51" i="2"/>
  <c r="D51" i="2"/>
  <c r="C51" i="2"/>
  <c r="B51" i="2"/>
  <c r="X44" i="2"/>
  <c r="W44" i="2"/>
  <c r="V44" i="2"/>
  <c r="T44" i="2"/>
  <c r="O44" i="2"/>
  <c r="N44" i="2"/>
  <c r="M44" i="2"/>
  <c r="L44" i="2"/>
  <c r="K44" i="2"/>
  <c r="J44" i="2"/>
  <c r="I44" i="2"/>
  <c r="H44" i="2"/>
  <c r="G44" i="2"/>
  <c r="F44" i="2"/>
  <c r="E44" i="2"/>
  <c r="D44" i="2"/>
  <c r="C44" i="2"/>
  <c r="B44" i="2"/>
  <c r="X37" i="2"/>
  <c r="W37" i="2"/>
  <c r="V37" i="2"/>
  <c r="T37" i="2"/>
  <c r="O37" i="2"/>
  <c r="N37" i="2"/>
  <c r="M37" i="2"/>
  <c r="L37" i="2"/>
  <c r="K37" i="2"/>
  <c r="J37" i="2"/>
  <c r="I37" i="2"/>
  <c r="H37" i="2"/>
  <c r="G37" i="2"/>
  <c r="F37" i="2"/>
  <c r="E37" i="2"/>
  <c r="D37" i="2"/>
  <c r="C37" i="2"/>
  <c r="B37" i="2"/>
  <c r="X29" i="2"/>
  <c r="W29" i="2"/>
  <c r="V29" i="2"/>
  <c r="T29" i="2"/>
  <c r="O29" i="2"/>
  <c r="N29" i="2"/>
  <c r="M29" i="2"/>
  <c r="L29" i="2"/>
  <c r="K29" i="2"/>
  <c r="J29" i="2"/>
  <c r="I29" i="2"/>
  <c r="H29" i="2"/>
  <c r="G29" i="2"/>
  <c r="F29" i="2"/>
  <c r="D29" i="2"/>
  <c r="C29" i="2"/>
  <c r="B29" i="2"/>
  <c r="X14" i="2"/>
  <c r="W14" i="2"/>
  <c r="V14" i="2"/>
  <c r="T14" i="2"/>
  <c r="O14" i="2"/>
  <c r="N14" i="2"/>
  <c r="M14" i="2"/>
  <c r="L14" i="2"/>
  <c r="K14" i="2"/>
  <c r="J14" i="2"/>
  <c r="I14" i="2"/>
  <c r="H14" i="2"/>
  <c r="G14" i="2"/>
  <c r="F14" i="2"/>
  <c r="E14" i="2"/>
  <c r="D14" i="2"/>
  <c r="C14" i="2"/>
  <c r="B14" i="2"/>
  <c r="E29" i="2"/>
  <c r="L68" i="2"/>
  <c r="I68" i="2"/>
  <c r="M68" i="2"/>
  <c r="B19" i="2"/>
  <c r="B17" i="2"/>
  <c r="C17" i="2"/>
  <c r="B24" i="2"/>
  <c r="B22" i="2"/>
  <c r="C22" i="2"/>
  <c r="B66" i="2"/>
  <c r="L32" i="2"/>
  <c r="I32" i="2"/>
  <c r="M32" i="2"/>
  <c r="I66" i="2"/>
  <c r="L34" i="2"/>
  <c r="I34" i="2"/>
  <c r="M34" i="2"/>
  <c r="L18" i="2"/>
  <c r="I18" i="2"/>
  <c r="B23" i="2"/>
  <c r="C23" i="2"/>
  <c r="I23" i="2"/>
  <c r="L23" i="2"/>
  <c r="L33" i="2"/>
  <c r="I33" i="2"/>
  <c r="L61" i="2"/>
  <c r="I61" i="2"/>
  <c r="L24" i="2"/>
  <c r="I24" i="2"/>
  <c r="M24" i="2"/>
  <c r="L20" i="2"/>
  <c r="I20" i="2"/>
  <c r="M20" i="2"/>
  <c r="L11" i="2"/>
  <c r="I11" i="2"/>
  <c r="M11" i="2"/>
  <c r="I19" i="2"/>
  <c r="L19" i="2"/>
  <c r="M19" i="2"/>
  <c r="I8" i="2"/>
  <c r="L8" i="2"/>
  <c r="M8" i="2"/>
  <c r="I15" i="2"/>
  <c r="L15" i="2"/>
  <c r="M15" i="2"/>
  <c r="I17" i="2"/>
  <c r="L17" i="2"/>
  <c r="M17" i="2"/>
  <c r="I22" i="2"/>
  <c r="L22" i="2"/>
  <c r="M22" i="2"/>
  <c r="L25" i="2"/>
  <c r="I25" i="2"/>
  <c r="M25" i="2"/>
  <c r="M27" i="2"/>
  <c r="I52" i="2"/>
  <c r="L52" i="2"/>
  <c r="M52" i="2"/>
  <c r="I53" i="2"/>
  <c r="L53" i="2"/>
  <c r="M53" i="2"/>
  <c r="L55" i="2"/>
  <c r="I55" i="2"/>
  <c r="M55" i="2"/>
  <c r="M56" i="2"/>
  <c r="I38" i="2"/>
  <c r="L38" i="2"/>
  <c r="M38" i="2"/>
  <c r="I39" i="2"/>
  <c r="L39" i="2"/>
  <c r="M39" i="2"/>
  <c r="L41" i="2"/>
  <c r="I41" i="2"/>
  <c r="M41" i="2"/>
  <c r="M42" i="2"/>
  <c r="I45" i="2"/>
  <c r="L45" i="2"/>
  <c r="M45" i="2"/>
  <c r="I46" i="2"/>
  <c r="L46" i="2"/>
  <c r="M46" i="2"/>
  <c r="L48" i="2"/>
  <c r="I48" i="2"/>
  <c r="M48" i="2"/>
  <c r="M49" i="2"/>
  <c r="M59" i="2"/>
  <c r="I60" i="2"/>
  <c r="L60" i="2"/>
  <c r="M60" i="2"/>
  <c r="L62" i="2"/>
  <c r="M62" i="2"/>
  <c r="M63" i="2"/>
  <c r="I7" i="2"/>
  <c r="L7" i="2"/>
  <c r="M7" i="2"/>
  <c r="I10" i="2"/>
  <c r="L10" i="2"/>
  <c r="M10" i="2"/>
  <c r="M12" i="2"/>
  <c r="L66" i="2"/>
  <c r="M71" i="2"/>
  <c r="I30" i="2"/>
  <c r="L30" i="2"/>
  <c r="M30" i="2"/>
  <c r="I31" i="2"/>
  <c r="L31" i="2"/>
  <c r="M31" i="2"/>
  <c r="M35" i="2"/>
  <c r="M74" i="2"/>
  <c r="L27" i="2"/>
  <c r="L12" i="2"/>
  <c r="L71" i="2"/>
  <c r="L59" i="2"/>
  <c r="L63" i="2"/>
  <c r="L47" i="2"/>
  <c r="L49" i="2"/>
  <c r="L42" i="2"/>
  <c r="L54" i="2"/>
  <c r="L56" i="2"/>
  <c r="L35" i="2"/>
  <c r="L74" i="2"/>
  <c r="I27" i="2"/>
  <c r="I54" i="2"/>
  <c r="I56" i="2"/>
  <c r="I42" i="2"/>
  <c r="I47" i="2"/>
  <c r="I49" i="2"/>
  <c r="I59" i="2"/>
  <c r="I62" i="2"/>
  <c r="I63" i="2"/>
  <c r="I12" i="2"/>
  <c r="I71" i="2"/>
  <c r="I35" i="2"/>
  <c r="I74" i="2"/>
  <c r="T95" i="2"/>
  <c r="N95" i="2"/>
  <c r="N97" i="2"/>
  <c r="O95" i="2"/>
  <c r="T83" i="2"/>
  <c r="T84" i="2"/>
  <c r="T85" i="2"/>
  <c r="T86" i="2"/>
  <c r="T87" i="2"/>
  <c r="T88" i="2"/>
  <c r="T89" i="2"/>
  <c r="T90" i="2"/>
  <c r="T91" i="2"/>
  <c r="T92" i="2"/>
  <c r="T93" i="2"/>
  <c r="T94" i="2"/>
  <c r="T96" i="2"/>
  <c r="T97" i="2"/>
  <c r="N91" i="2"/>
  <c r="O91" i="2"/>
  <c r="H115" i="2"/>
  <c r="I115" i="2"/>
  <c r="H114" i="2"/>
  <c r="H112" i="2"/>
  <c r="H111" i="2"/>
  <c r="H110" i="2"/>
  <c r="H109" i="2"/>
  <c r="H108" i="2"/>
  <c r="H107" i="2"/>
  <c r="I114" i="2"/>
  <c r="I112" i="2"/>
  <c r="I111" i="2"/>
  <c r="I110" i="2"/>
  <c r="I109" i="2"/>
  <c r="I108" i="2"/>
  <c r="I107" i="2"/>
  <c r="N96" i="2"/>
  <c r="O96" i="2"/>
  <c r="N94" i="2"/>
  <c r="O94" i="2"/>
  <c r="N93" i="2"/>
  <c r="O93" i="2"/>
  <c r="N92" i="2"/>
  <c r="O92" i="2"/>
  <c r="N90" i="2"/>
  <c r="O90" i="2"/>
  <c r="N89" i="2"/>
  <c r="O89" i="2"/>
  <c r="N88" i="2"/>
  <c r="O88" i="2"/>
  <c r="N87" i="2"/>
  <c r="O87" i="2"/>
  <c r="N86" i="2"/>
  <c r="O86" i="2"/>
  <c r="N85" i="2"/>
  <c r="O85" i="2"/>
  <c r="N84" i="2"/>
  <c r="O84" i="2"/>
  <c r="N83" i="2"/>
  <c r="O83" i="2"/>
  <c r="O97" i="2"/>
  <c r="T82" i="2"/>
  <c r="J82" i="2"/>
  <c r="J106" i="2"/>
</calcChain>
</file>

<file path=xl/comments1.xml><?xml version="1.0" encoding="utf-8"?>
<comments xmlns="http://schemas.openxmlformats.org/spreadsheetml/2006/main">
  <authors>
    <author>mherald</author>
  </authors>
  <commentList>
    <comment ref="B34" authorId="0">
      <text>
        <r>
          <rPr>
            <b/>
            <sz val="8"/>
            <color indexed="81"/>
            <rFont val="Tahoma"/>
          </rPr>
          <t>mherald:</t>
        </r>
        <r>
          <rPr>
            <sz val="8"/>
            <color indexed="81"/>
            <rFont val="Tahoma"/>
          </rPr>
          <t xml:space="preserve">
Changed qty to 86 from 35 5/3/13
</t>
        </r>
      </text>
    </comment>
  </commentList>
</comments>
</file>

<file path=xl/sharedStrings.xml><?xml version="1.0" encoding="utf-8"?>
<sst xmlns="http://schemas.openxmlformats.org/spreadsheetml/2006/main" count="8467" uniqueCount="710">
  <si>
    <t>Brick</t>
  </si>
  <si>
    <t>Kitchen Backsplash</t>
  </si>
  <si>
    <t>Backer Board</t>
  </si>
  <si>
    <t>(markup)</t>
  </si>
  <si>
    <t>rounding</t>
  </si>
  <si>
    <t>Upgrade Price</t>
  </si>
  <si>
    <t>Retail Price</t>
  </si>
  <si>
    <t>BW Cost</t>
  </si>
  <si>
    <t>TOTAL</t>
  </si>
  <si>
    <t>Subtotal</t>
  </si>
  <si>
    <t>Pattern</t>
  </si>
  <si>
    <t>BN-10</t>
  </si>
  <si>
    <t>Tile Type</t>
  </si>
  <si>
    <t>SF/Count</t>
  </si>
  <si>
    <t>Selected Tile
Price Total</t>
  </si>
  <si>
    <t>Selected Tile
Price/SF</t>
  </si>
  <si>
    <t>Selected Tile
Level</t>
  </si>
  <si>
    <t>COST DIFF
(total compared)</t>
  </si>
  <si>
    <t>Selected Tile
Total COST</t>
  </si>
  <si>
    <t>Selected Tile
COST/SF</t>
  </si>
  <si>
    <t>Base Tile
Total COST</t>
  </si>
  <si>
    <t>Base Tile
COST/SF</t>
  </si>
  <si>
    <t>Base Tile
Level</t>
  </si>
  <si>
    <t>Guest Bath on Main - Floor</t>
  </si>
  <si>
    <t>Owner's Bath</t>
  </si>
  <si>
    <t>Homeowner Acceptance:____________________________________________</t>
  </si>
  <si>
    <t>Tile Selections Pricing/Options to be paid in full at the time of tile selections acceptance and signoff.</t>
  </si>
  <si>
    <t>Date:____________________________________________</t>
  </si>
  <si>
    <t>Bath 2 - Floor</t>
  </si>
  <si>
    <t>Bath 2 - Bullnose</t>
  </si>
  <si>
    <t>Pattern Charge</t>
  </si>
  <si>
    <t>Laundry</t>
  </si>
  <si>
    <t>(markup below $NN cost)</t>
  </si>
  <si>
    <t>(markup above $NN cost)</t>
  </si>
  <si>
    <t>$NN threshold</t>
  </si>
  <si>
    <t>Length (inches)</t>
  </si>
  <si>
    <t>Height (inches)</t>
  </si>
  <si>
    <t>Waste Factor</t>
  </si>
  <si>
    <t>Shaw Tibet TGK31 18x18, Straight</t>
  </si>
  <si>
    <t>Bath 4</t>
  </si>
  <si>
    <t>DAL octagon &amp; dot - Matte White 6501 w/21 Black Glass, straight</t>
  </si>
  <si>
    <t>Bsmnt Bath</t>
  </si>
  <si>
    <t>Concrete - stained</t>
  </si>
  <si>
    <t>Kitchen/Breakfast</t>
  </si>
  <si>
    <t>DAL Fabrique Blanc Linen P685 24x24</t>
  </si>
  <si>
    <t>Pattern Charge - Brick</t>
  </si>
  <si>
    <t>DAL P'zazz White Ritz P261 (2) 12x24</t>
  </si>
  <si>
    <t>Shaw Monte Vista TGH01 00300 Luna Park 12x24, natural gray 09</t>
  </si>
  <si>
    <t>Powder Room Wall</t>
  </si>
  <si>
    <t>EMSER Confetti 12x12 mesh Alfredo, straight</t>
  </si>
  <si>
    <t>DAL Modern Dimensions 4 1/4 x 8 1/2 Artic White 0190</t>
  </si>
  <si>
    <t>Brick - Horizontal</t>
  </si>
  <si>
    <t>Bull Nose</t>
  </si>
  <si>
    <t xml:space="preserve">Shaw Monte Vista TGH01, 00300 Luna park 12x24, Natural Gray </t>
  </si>
  <si>
    <t>Shaw Marquis Glass TGH34 1x1 Mosaic - 240 Platinum, Natural Gray 09</t>
  </si>
  <si>
    <t>Shaw TGK39/550 2x4</t>
  </si>
  <si>
    <t>Shaw Marquis Glass TGH34 1x1 Mosaic - 240 Platinum</t>
  </si>
  <si>
    <t xml:space="preserve">Shaw Monte Vista TGH79, 00300 Luna Park </t>
  </si>
  <si>
    <t>See Drawing</t>
  </si>
  <si>
    <t>Shaw Monte Vista TGH79, 00300 Luna Park, Brick Pattern Natural Gray 09</t>
  </si>
  <si>
    <t>Mud Pan</t>
  </si>
  <si>
    <t>Bath 2 - tub wall</t>
  </si>
  <si>
    <t>Bath 2 - pattern</t>
  </si>
  <si>
    <t>Bath 4 - wall</t>
  </si>
  <si>
    <t>Terrace Bath - Wall</t>
  </si>
  <si>
    <t>Alternating Brick Pattern - Terrace Bath Wall</t>
  </si>
  <si>
    <t>Bath 3 - Bullnose</t>
  </si>
  <si>
    <t>Bath 4 - Bullnose</t>
  </si>
  <si>
    <t>Owner's Bath - Pattern Charge - Brick</t>
  </si>
  <si>
    <t>Bath 3 - Floor</t>
  </si>
  <si>
    <t>Bath 4 - Floor</t>
  </si>
  <si>
    <t>Guest Bath on main - wall</t>
  </si>
  <si>
    <t>Guest Bath on main - Bullnose</t>
  </si>
  <si>
    <t>Terrace Bath Wall - Bullnose</t>
  </si>
  <si>
    <t>Bath 3 - wall</t>
  </si>
  <si>
    <t>Owner's Bath and Water Closet</t>
  </si>
  <si>
    <t>Terrace Bath</t>
  </si>
  <si>
    <t>Terrace Bath - Floor</t>
  </si>
  <si>
    <t>Owner's tub - wall</t>
  </si>
  <si>
    <t>Owner's tub - wall accent</t>
  </si>
  <si>
    <t>Owner's Shower - Wall</t>
  </si>
  <si>
    <t>Owner's Shower - Accent</t>
  </si>
  <si>
    <t>Owner's Shower Base Tile</t>
  </si>
  <si>
    <t xml:space="preserve">Owner's Shower Base </t>
  </si>
  <si>
    <t>Bath 4 - tub wall pattern</t>
  </si>
  <si>
    <t>Kitchen/Breakfast - Floor</t>
  </si>
  <si>
    <t>FT2-15</t>
  </si>
  <si>
    <t>FT2-14</t>
  </si>
  <si>
    <t>FT2-13</t>
  </si>
  <si>
    <t>FT2-12</t>
  </si>
  <si>
    <t>FT2-11</t>
  </si>
  <si>
    <t>FT2-10</t>
  </si>
  <si>
    <t>Kitchen Accent</t>
  </si>
  <si>
    <t>Butler Pantry's Backsplash</t>
  </si>
  <si>
    <t>Morning Bar Backsplash</t>
  </si>
  <si>
    <t>Shaw TGK37/550 3x6, Platinum 115</t>
  </si>
  <si>
    <t>Shaw TGK39/550 2x4, Platinum 115</t>
  </si>
  <si>
    <t>Herringbone over cooktop area only</t>
  </si>
  <si>
    <t>Herringbone</t>
  </si>
  <si>
    <t>Shaw TGK39/550 2x4, Platinum 115, Natural Gray 09, straight -Vertical Direction</t>
  </si>
  <si>
    <t>Kitchen</t>
  </si>
  <si>
    <t>Other Areas</t>
  </si>
  <si>
    <t>BN-01</t>
  </si>
  <si>
    <t>BN-02</t>
  </si>
  <si>
    <t>BN-03</t>
  </si>
  <si>
    <t>BN-04</t>
  </si>
  <si>
    <t>BN-05</t>
  </si>
  <si>
    <t>BN-06</t>
  </si>
  <si>
    <t>BN-07</t>
  </si>
  <si>
    <t>BN-08</t>
  </si>
  <si>
    <t>BN-09</t>
  </si>
  <si>
    <t>FT2-09</t>
  </si>
  <si>
    <t>FT2-08</t>
  </si>
  <si>
    <t>FT2-07</t>
  </si>
  <si>
    <t>FT2-06</t>
  </si>
  <si>
    <t>FT2-05</t>
  </si>
  <si>
    <t>FT2-04</t>
  </si>
  <si>
    <t>FT2-03</t>
  </si>
  <si>
    <t>FT2-02</t>
  </si>
  <si>
    <t>Grout</t>
  </si>
  <si>
    <t>Direction</t>
  </si>
  <si>
    <t>Straight</t>
  </si>
  <si>
    <t>Horizontal</t>
  </si>
  <si>
    <t>Snow White 11</t>
  </si>
  <si>
    <t>Bath 4 - tub wall</t>
  </si>
  <si>
    <t>Vertical</t>
  </si>
  <si>
    <t>Square</t>
  </si>
  <si>
    <t>Owner's tub wall - field</t>
  </si>
  <si>
    <t>Owner's tub wall - accent</t>
  </si>
  <si>
    <t>Owner's Bath and Water Closet - Floor</t>
  </si>
  <si>
    <t>12" band, height TBD</t>
  </si>
  <si>
    <t>Mosaic</t>
  </si>
  <si>
    <t>Owner's Shower Floor</t>
  </si>
  <si>
    <t>Terrace Bath - tub wall pattern</t>
  </si>
  <si>
    <t>Owner's Shower - Pattern</t>
  </si>
  <si>
    <t>Owner's tub wall - Pattern</t>
  </si>
  <si>
    <t>White Dove 14</t>
  </si>
  <si>
    <t>BN-11</t>
  </si>
  <si>
    <t>Butler Pantry's Accent</t>
  </si>
  <si>
    <t>T-18</t>
  </si>
  <si>
    <t>T-17</t>
  </si>
  <si>
    <t>T-16</t>
  </si>
  <si>
    <t>T-15</t>
  </si>
  <si>
    <t>T-14</t>
  </si>
  <si>
    <t>T-13</t>
  </si>
  <si>
    <t>T-12</t>
  </si>
  <si>
    <t>T-11</t>
  </si>
  <si>
    <t>T-10</t>
  </si>
  <si>
    <t>T-09</t>
  </si>
  <si>
    <t>T-08</t>
  </si>
  <si>
    <t>T-07</t>
  </si>
  <si>
    <t>T-06</t>
  </si>
  <si>
    <t>T-05</t>
  </si>
  <si>
    <t>T-04</t>
  </si>
  <si>
    <t>T-03</t>
  </si>
  <si>
    <t>T-02</t>
  </si>
  <si>
    <t>T-01</t>
  </si>
  <si>
    <t>T-19</t>
  </si>
  <si>
    <t>Credit for glass block wall contemplated in contract</t>
  </si>
  <si>
    <t>CREDIT</t>
  </si>
  <si>
    <t>N5 Formula 05/11/13: =IF($F5=$F$122,MROUND($M5*$H$122,$I$122),IF($F5=$F$123,MROUND($M5*$H$123,$I$123),IF($F5=$F$124,MROUND($M5*$H$124,$I$124),IF($F5=$F$125,MROUND($M5*$H$125,$I$125),IF($F5=$F$126,MROUND($M5*$H$126,$I$126),IF($F5=$F$81,VLOOKUP($J5,$F$82:$I$96,4,),IF($F5=$L$81,VLOOKUP($J5,$L$82:$O$96,4,),IF($F5=$F$105,VLOOKUP($J5,$F$106:$I$115,4,)))))))))</t>
  </si>
  <si>
    <t>H5 Formula 05/11/13: =IF($F5=$F$122,$G$122,IF($F5=$F$123,$G$123,IF($F5=$F$124,$G$124,IF($F5=$F$125,$G$125,IF($F5=$F$126,$G$126,IF($F5=$F$81,INDEX($G$82:$J$96,MATCH($G5,$J$82:$J$96,-1),1),IF($F5=$L$81,INDEX($M$82:$P$96,MATCH($G5,$P$82:$P$96,-1),1),IF($F5=$F$105,INDEX($G$106:$J$115,MATCH($G5,$J$106:$J$115,-1),1),"CHECK THIS!!"))))))))</t>
  </si>
  <si>
    <t>1-Field Tile</t>
  </si>
  <si>
    <t>2-Field Tile L2</t>
  </si>
  <si>
    <t>3-Bullnose Tile</t>
  </si>
  <si>
    <t>4-Decorative</t>
  </si>
  <si>
    <t>5-Pattern</t>
  </si>
  <si>
    <t>6-Shower Base</t>
  </si>
  <si>
    <t>7-Shower Bench</t>
  </si>
  <si>
    <t>8-Included</t>
  </si>
  <si>
    <t>N5 Formula 05/13/13: =IF($F5=$F$81,VLOOKUP($J5,$F$82:$I$96,4,),IF($F5=$L$81,VLOOKUP($J5,$L$82:$O$96,4,),IF($F5=$F$105,VLOOKUP($J5,$F$106:$I$115,4,),MROUND($M5*INDEX($F$119:$I$127,MATCH($F5,$F$119:$F$127,0),3),INDEX($F$119:$I$127,MATCH($F5,$F$119:$F$127,0),4)))))</t>
  </si>
  <si>
    <t>H5 Formula 05/13/13: =IF($F5=$F$81,INDEX($G$82:$J$96,MATCH($G5,$J$82:$J$96,-1),1),IF($F5=$L$81,INDEX($M$82:$P$96,MATCH($G5,$P$82:$P$96,-1),1),IF($F5=$F$105,INDEX($G$106:$J$115,MATCH($G5,$J$106:$J$115,-1),1),VLOOKUP($F5,$F$119:$I$127,2,FALSE))))</t>
  </si>
  <si>
    <t>Terrace Bar Backsplash</t>
  </si>
  <si>
    <t>5 rows mesh mosaic</t>
  </si>
  <si>
    <t>Owner's Shower - Walls (and seat)</t>
  </si>
  <si>
    <t>9-Contract</t>
  </si>
  <si>
    <t>Fireplace wall</t>
  </si>
  <si>
    <t>Study Bath on Main - Floor</t>
  </si>
  <si>
    <t>Study Bath on Main - wall</t>
  </si>
  <si>
    <t>Study Bath on Main - deco</t>
  </si>
  <si>
    <t>Study Bath on Main - tub wall pattern</t>
  </si>
  <si>
    <t>Study Bath on Main - Bullnose</t>
  </si>
  <si>
    <t>Study Bath on Main</t>
  </si>
  <si>
    <t>Family Room Bath on Main</t>
  </si>
  <si>
    <t>Family Room Bath on Main - Floor</t>
  </si>
  <si>
    <t>Family Room Bath on Main - Bullnose</t>
  </si>
  <si>
    <t>Jack &amp; Jill Bath - Floor</t>
  </si>
  <si>
    <t>Jack &amp; Jill Bath - wall</t>
  </si>
  <si>
    <t>Jack &amp; Jill Bath - tub wall pattern</t>
  </si>
  <si>
    <t>Jack &amp; Jill Bath - Bullnose</t>
  </si>
  <si>
    <t>Jack &amp; Jill Bath</t>
  </si>
  <si>
    <t>Family Room Bath on Main - shower wall</t>
  </si>
  <si>
    <t>Family Room Bath on Main - shower floor</t>
  </si>
  <si>
    <t>Owner's tub - Bullnose</t>
  </si>
  <si>
    <t>Group</t>
  </si>
  <si>
    <t>Style</t>
  </si>
  <si>
    <t>Type</t>
  </si>
  <si>
    <t>Dimension</t>
  </si>
  <si>
    <t>Manufacturer</t>
  </si>
  <si>
    <t>Grouping</t>
  </si>
  <si>
    <t>Category</t>
  </si>
  <si>
    <t>Style Name</t>
  </si>
  <si>
    <t>COST</t>
  </si>
  <si>
    <t>Ceramic &amp; Porcelain</t>
  </si>
  <si>
    <t>C &amp; P</t>
  </si>
  <si>
    <t>DAL</t>
  </si>
  <si>
    <t>Baybridge (new product)</t>
  </si>
  <si>
    <t>Bullnose</t>
  </si>
  <si>
    <t xml:space="preserve">2 x 10 </t>
  </si>
  <si>
    <t>Field</t>
  </si>
  <si>
    <t>10 x 13</t>
  </si>
  <si>
    <t>10 x 16</t>
  </si>
  <si>
    <t>6.5 x 6.5</t>
  </si>
  <si>
    <t>Cannes</t>
  </si>
  <si>
    <t>15 x 13</t>
  </si>
  <si>
    <t>20 x 18</t>
  </si>
  <si>
    <t>Octagon &amp; Dot</t>
  </si>
  <si>
    <t>24 x 12</t>
  </si>
  <si>
    <t>Plaza Nova</t>
  </si>
  <si>
    <t xml:space="preserve">15 x 12 </t>
  </si>
  <si>
    <t>24 x 24</t>
  </si>
  <si>
    <t>Rittenhouse - 0100 White</t>
  </si>
  <si>
    <t>15 x 6</t>
  </si>
  <si>
    <t>Santino (new product)</t>
  </si>
  <si>
    <t xml:space="preserve">16 x 18 </t>
  </si>
  <si>
    <t>18 x 24</t>
  </si>
  <si>
    <t>30 x 18</t>
  </si>
  <si>
    <t>30 x 36</t>
  </si>
  <si>
    <t>Terra Antica</t>
  </si>
  <si>
    <t>18 x 6</t>
  </si>
  <si>
    <t>Terrace</t>
  </si>
  <si>
    <t xml:space="preserve">15 x 18 </t>
  </si>
  <si>
    <t>18 x 36</t>
  </si>
  <si>
    <t>Torreon</t>
  </si>
  <si>
    <t xml:space="preserve">16 x 12 </t>
  </si>
  <si>
    <t>Union Square</t>
  </si>
  <si>
    <t>14 x 8</t>
  </si>
  <si>
    <t>16 x 8</t>
  </si>
  <si>
    <t>Veranda Tone</t>
  </si>
  <si>
    <t>25 x 20</t>
  </si>
  <si>
    <t>32 x 20</t>
  </si>
  <si>
    <t>Vibe</t>
  </si>
  <si>
    <t>36 x 24</t>
  </si>
  <si>
    <t>Yacht Club</t>
  </si>
  <si>
    <t xml:space="preserve">16 x 24 </t>
  </si>
  <si>
    <t xml:space="preserve">5 x 12 </t>
  </si>
  <si>
    <t>EMSER</t>
  </si>
  <si>
    <t>Glazed Body Match Porcelain</t>
  </si>
  <si>
    <t>Alpine</t>
  </si>
  <si>
    <t>16 x 36</t>
  </si>
  <si>
    <t>20 x 36</t>
  </si>
  <si>
    <t>24 x 36</t>
  </si>
  <si>
    <t>Perspective</t>
  </si>
  <si>
    <t>Rio</t>
  </si>
  <si>
    <t>Sakai</t>
  </si>
  <si>
    <t>Glazed Ceramic</t>
  </si>
  <si>
    <t>Heritage</t>
  </si>
  <si>
    <t>16 x 24</t>
  </si>
  <si>
    <t>20 x 24</t>
  </si>
  <si>
    <t>Montal</t>
  </si>
  <si>
    <t>Origin</t>
  </si>
  <si>
    <t xml:space="preserve">15 x 13 </t>
  </si>
  <si>
    <t>25 x 13</t>
  </si>
  <si>
    <t>29 x 17</t>
  </si>
  <si>
    <t>Paseo</t>
  </si>
  <si>
    <t>Glazed Porcelain</t>
  </si>
  <si>
    <t>Ambiance - Matte</t>
  </si>
  <si>
    <t>Ambiance - Polished</t>
  </si>
  <si>
    <t>Boulevard</t>
  </si>
  <si>
    <t>Country</t>
  </si>
  <si>
    <t>Napa</t>
  </si>
  <si>
    <t>Rock</t>
  </si>
  <si>
    <t>Veracruz</t>
  </si>
  <si>
    <t>Woodstock</t>
  </si>
  <si>
    <t xml:space="preserve">14 x 10 </t>
  </si>
  <si>
    <t>20 x 16</t>
  </si>
  <si>
    <t>20 x 8</t>
  </si>
  <si>
    <t>28 x 16</t>
  </si>
  <si>
    <t>28 x 24</t>
  </si>
  <si>
    <t>Unglazed Double Loaded Porcelain</t>
  </si>
  <si>
    <t>Peninsula</t>
  </si>
  <si>
    <t>20 x 32</t>
  </si>
  <si>
    <t>28 x 32</t>
  </si>
  <si>
    <t>Pietre Del Nord - Matte (Level 1)</t>
  </si>
  <si>
    <t>Unglazed Through Body Porcelain</t>
  </si>
  <si>
    <t>Direction - Polished</t>
  </si>
  <si>
    <t>Direction - Textured</t>
  </si>
  <si>
    <t>SHAW</t>
  </si>
  <si>
    <t>Escalante</t>
  </si>
  <si>
    <t>Esperanza</t>
  </si>
  <si>
    <t>Prodigy</t>
  </si>
  <si>
    <t>Riverglen</t>
  </si>
  <si>
    <t>Listello &amp; Decco</t>
  </si>
  <si>
    <t>Brancacci</t>
  </si>
  <si>
    <t>2 x 2</t>
  </si>
  <si>
    <t>6 x 6</t>
  </si>
  <si>
    <t>9 x 12</t>
  </si>
  <si>
    <t>Listello</t>
  </si>
  <si>
    <t xml:space="preserve">2 x 12 </t>
  </si>
  <si>
    <t xml:space="preserve">3 x 12 </t>
  </si>
  <si>
    <t>Brixton</t>
  </si>
  <si>
    <t xml:space="preserve">4 x 12 </t>
  </si>
  <si>
    <t>13 x 12</t>
  </si>
  <si>
    <t>19 x 18</t>
  </si>
  <si>
    <t>Castle De Verre</t>
  </si>
  <si>
    <t xml:space="preserve">6 x 13 </t>
  </si>
  <si>
    <t>Deco</t>
  </si>
  <si>
    <t xml:space="preserve">10 x 13 </t>
  </si>
  <si>
    <t xml:space="preserve">10 x 14 </t>
  </si>
  <si>
    <t>16 x 13</t>
  </si>
  <si>
    <t>23 x 20</t>
  </si>
  <si>
    <t>3 x 3</t>
  </si>
  <si>
    <t>Concrete Connection</t>
  </si>
  <si>
    <t xml:space="preserve">8 x 13 </t>
  </si>
  <si>
    <t>11 x 20</t>
  </si>
  <si>
    <t>18 x 13</t>
  </si>
  <si>
    <t>18 x 20</t>
  </si>
  <si>
    <t>6.5 x 6.10</t>
  </si>
  <si>
    <t xml:space="preserve">2 x 6 </t>
  </si>
  <si>
    <t>Continental Slate</t>
  </si>
  <si>
    <t xml:space="preserve">9 x 12 </t>
  </si>
  <si>
    <t>12 x 6</t>
  </si>
  <si>
    <t>18 x 12</t>
  </si>
  <si>
    <t>24 x 18</t>
  </si>
  <si>
    <t>Cortona (new product)</t>
  </si>
  <si>
    <t>20 x 13</t>
  </si>
  <si>
    <t>20 x 20</t>
  </si>
  <si>
    <t>27 x 20</t>
  </si>
  <si>
    <t>6.5 x 6.12</t>
  </si>
  <si>
    <t>4 x 13</t>
  </si>
  <si>
    <t>Fidenza</t>
  </si>
  <si>
    <t>Florentine</t>
  </si>
  <si>
    <t>4 x 4</t>
  </si>
  <si>
    <t>Heathland</t>
  </si>
  <si>
    <t>3 x 6</t>
  </si>
  <si>
    <t>Levaro</t>
  </si>
  <si>
    <t>6.5 x 6.17</t>
  </si>
  <si>
    <t>Paraiso</t>
  </si>
  <si>
    <t>Parkway (new product)</t>
  </si>
  <si>
    <t>Polaris</t>
  </si>
  <si>
    <t xml:space="preserve">14 x 6 </t>
  </si>
  <si>
    <t xml:space="preserve">15 x 9 </t>
  </si>
  <si>
    <t xml:space="preserve">16 x 20 </t>
  </si>
  <si>
    <t>Border</t>
  </si>
  <si>
    <t>12 x 18</t>
  </si>
  <si>
    <t>6 x 8</t>
  </si>
  <si>
    <t xml:space="preserve">8 x 8 </t>
  </si>
  <si>
    <t xml:space="preserve">4 x 8 </t>
  </si>
  <si>
    <t>Salerno</t>
  </si>
  <si>
    <t xml:space="preserve">3 x 10 </t>
  </si>
  <si>
    <t>San Michelle</t>
  </si>
  <si>
    <t>Sandalo</t>
  </si>
  <si>
    <t>Spark</t>
  </si>
  <si>
    <t xml:space="preserve">12 x 24 </t>
  </si>
  <si>
    <t xml:space="preserve">6 x 24 </t>
  </si>
  <si>
    <t>1 x 2</t>
  </si>
  <si>
    <t>Stratford Place</t>
  </si>
  <si>
    <t>Romanza</t>
  </si>
  <si>
    <t xml:space="preserve">1 x 12 </t>
  </si>
  <si>
    <t>Gibraltar</t>
  </si>
  <si>
    <t>Landscape</t>
  </si>
  <si>
    <t xml:space="preserve">6 x 12 </t>
  </si>
  <si>
    <t>12 x 12</t>
  </si>
  <si>
    <t>Spectrum</t>
  </si>
  <si>
    <t>Strands</t>
  </si>
  <si>
    <t>Tex-Tile</t>
  </si>
  <si>
    <t>Atlantis</t>
  </si>
  <si>
    <t>Odyssey</t>
  </si>
  <si>
    <t>13 x 13</t>
  </si>
  <si>
    <t xml:space="preserve">2 x 13 </t>
  </si>
  <si>
    <t>Pacific</t>
  </si>
  <si>
    <t xml:space="preserve">6 x 6 </t>
  </si>
  <si>
    <t>Padua</t>
  </si>
  <si>
    <t>Toledo</t>
  </si>
  <si>
    <t>19 x 7</t>
  </si>
  <si>
    <t>7 x 7</t>
  </si>
  <si>
    <t>Agra</t>
  </si>
  <si>
    <t>19 x 20</t>
  </si>
  <si>
    <t>Belgio</t>
  </si>
  <si>
    <t>15 x 7</t>
  </si>
  <si>
    <t xml:space="preserve">3 x 13 </t>
  </si>
  <si>
    <t>Bombay</t>
  </si>
  <si>
    <t>Coliseum</t>
  </si>
  <si>
    <t>Genoa</t>
  </si>
  <si>
    <t>Lindos</t>
  </si>
  <si>
    <t>Lucerne</t>
  </si>
  <si>
    <t>Madrid</t>
  </si>
  <si>
    <t>19 x 13</t>
  </si>
  <si>
    <t>Morfos</t>
  </si>
  <si>
    <t xml:space="preserve">7 x 7 </t>
  </si>
  <si>
    <t xml:space="preserve">1 x 7 </t>
  </si>
  <si>
    <t>Pamplona</t>
  </si>
  <si>
    <t>22 x 20</t>
  </si>
  <si>
    <t>Piozzi</t>
  </si>
  <si>
    <t>Seville</t>
  </si>
  <si>
    <t>Taverna</t>
  </si>
  <si>
    <t>Pietre Del Nord - Matte (Level 2)</t>
  </si>
  <si>
    <t>Pietre Del Nord - Polished (Level 1)</t>
  </si>
  <si>
    <t>Pietre Del Nord - Polished (Level 2)</t>
  </si>
  <si>
    <t>Corona</t>
  </si>
  <si>
    <t>Chair Rail</t>
  </si>
  <si>
    <t xml:space="preserve">1 x 10 </t>
  </si>
  <si>
    <t>22 x 13</t>
  </si>
  <si>
    <t>Crosswinds</t>
  </si>
  <si>
    <t xml:space="preserve">4 x 13 </t>
  </si>
  <si>
    <t>Del Sol</t>
  </si>
  <si>
    <t>Hidalgo</t>
  </si>
  <si>
    <t>Lantana</t>
  </si>
  <si>
    <t>Nautilus</t>
  </si>
  <si>
    <t>Petra</t>
  </si>
  <si>
    <t>Quartztech</t>
  </si>
  <si>
    <t>Roma</t>
  </si>
  <si>
    <t>Shiloh</t>
  </si>
  <si>
    <t>Solstice</t>
  </si>
  <si>
    <t>22 x 16</t>
  </si>
  <si>
    <t>Travertino</t>
  </si>
  <si>
    <t>G</t>
  </si>
  <si>
    <t>Glass</t>
  </si>
  <si>
    <t>Lucente</t>
  </si>
  <si>
    <t>Mystique</t>
  </si>
  <si>
    <t>Vista</t>
  </si>
  <si>
    <t>Vista Matte</t>
  </si>
  <si>
    <t>Optical Glass 3x6</t>
  </si>
  <si>
    <t>O</t>
  </si>
  <si>
    <t>Area</t>
  </si>
  <si>
    <t>4.25 x 10</t>
  </si>
  <si>
    <t>Cape Cod</t>
  </si>
  <si>
    <t>Classica</t>
  </si>
  <si>
    <t>Semplice</t>
  </si>
  <si>
    <t>Metal</t>
  </si>
  <si>
    <t>Camelot</t>
  </si>
  <si>
    <t xml:space="preserve">4 x 4 </t>
  </si>
  <si>
    <t>Plaza</t>
  </si>
  <si>
    <t>Renaissance</t>
  </si>
  <si>
    <t>Heritage Banner Liner</t>
  </si>
  <si>
    <t>Heritage Half Round</t>
  </si>
  <si>
    <t xml:space="preserve">1 x 8 </t>
  </si>
  <si>
    <t>Heritage Insert</t>
  </si>
  <si>
    <t>Heritage Metal</t>
  </si>
  <si>
    <t>Heritage Metal Cable Liner</t>
  </si>
  <si>
    <t>Heritage Metal Large Ogee</t>
  </si>
  <si>
    <t>2 x 8</t>
  </si>
  <si>
    <t>Heritage Metal Logan Liner</t>
  </si>
  <si>
    <t>Heritage Sagebrush Deco</t>
  </si>
  <si>
    <t>Heritage Sagebrush Insert</t>
  </si>
  <si>
    <t>Heritage Sagebrush Liner</t>
  </si>
  <si>
    <t>Impressions Chair Rail</t>
  </si>
  <si>
    <t>Impressions Pencil Liner</t>
  </si>
  <si>
    <t>Radiance 3x6</t>
  </si>
  <si>
    <t>Resin Chair Rail</t>
  </si>
  <si>
    <t>Resin Floral Listello</t>
  </si>
  <si>
    <t>Resin Garden Listello</t>
  </si>
  <si>
    <t>ST</t>
  </si>
  <si>
    <t>ANTIQUE &amp; TUMBLED</t>
  </si>
  <si>
    <t>SLATE TUMBLED AUTUMN LILAC</t>
  </si>
  <si>
    <t>SLATE TUMBLED MULTI RAJAH</t>
  </si>
  <si>
    <t>TRAV ANCIENT TUMBLED BEIGE</t>
  </si>
  <si>
    <t>16 x 16</t>
  </si>
  <si>
    <t>4 x 8</t>
  </si>
  <si>
    <t>8 x 12</t>
  </si>
  <si>
    <t>8 x 16</t>
  </si>
  <si>
    <t>8 x 8</t>
  </si>
  <si>
    <t>TRAV ANCIENT TUMBLED MOCHA</t>
  </si>
  <si>
    <t>TRAV ANCIENT TUMBLED ORO</t>
  </si>
  <si>
    <t>TRAV ANCIENT TUMBLED SILVER</t>
  </si>
  <si>
    <t>TRAV CHISELED NOCE CLASSIC</t>
  </si>
  <si>
    <t>TRAV CHISELED ONYX</t>
  </si>
  <si>
    <t>TRAV CHISELED PHILADELPHIA</t>
  </si>
  <si>
    <t>TRAV CHISELED SCABOS VALENCIA</t>
  </si>
  <si>
    <t>TRAV CHISELED UMBRIA BRUNO</t>
  </si>
  <si>
    <t>TRAV CHISELED UMBRIA SAVERA</t>
  </si>
  <si>
    <t>TRAV CHISELED VANILLA COFFEE</t>
  </si>
  <si>
    <t>TRAV COTTAGE TUMBLED IVORY</t>
  </si>
  <si>
    <t>TRAV COTTAGE TUMBLED NOCE</t>
  </si>
  <si>
    <t>TRAV COTTAGE TUMBLED SCABOS</t>
  </si>
  <si>
    <t>TRAV FONTANE TUMBLED IVORY CLASSIC</t>
  </si>
  <si>
    <t>TRAV FONTANE TUMBLED WALNUT</t>
  </si>
  <si>
    <t>TRAV VINO TUMBLED CREAM</t>
  </si>
  <si>
    <t>TRAV VINO TUMBLED GOLD</t>
  </si>
  <si>
    <t>TRAV VINO TUMBLED NOCE</t>
  </si>
  <si>
    <t>MARBLE</t>
  </si>
  <si>
    <t>BIANCO GIOIA (BRUSHED)</t>
  </si>
  <si>
    <t>12 x 24</t>
  </si>
  <si>
    <t>18 x 18</t>
  </si>
  <si>
    <t>BIANCO GIOIA (HONED)</t>
  </si>
  <si>
    <t>BIANCO GIOIA (NANTES)</t>
  </si>
  <si>
    <t>BLACK &amp; WHITE</t>
  </si>
  <si>
    <t>CREMA MARFIL CLASSICO (FREEMONT BEIGE)</t>
  </si>
  <si>
    <t>CREMA MARFIL PLUS (FREEMONT BEIGE PLUS)</t>
  </si>
  <si>
    <t>CREMA MARFIL PLUS (HONED)</t>
  </si>
  <si>
    <t>MARRONE EMPERADOR DARK</t>
  </si>
  <si>
    <t>Slate Diamond Listello</t>
  </si>
  <si>
    <t>Mosaic &amp; Glass</t>
  </si>
  <si>
    <t>Coastal Keystones</t>
  </si>
  <si>
    <t>1x1</t>
  </si>
  <si>
    <t>Random</t>
  </si>
  <si>
    <t xml:space="preserve">block </t>
  </si>
  <si>
    <t>Fabrique</t>
  </si>
  <si>
    <t>Fantesca</t>
  </si>
  <si>
    <t>Franciscan Slate</t>
  </si>
  <si>
    <t>Gold Rush</t>
  </si>
  <si>
    <t>Kimona Silk</t>
  </si>
  <si>
    <t xml:space="preserve">P'Zazz </t>
  </si>
  <si>
    <t>Palatina</t>
  </si>
  <si>
    <t>Pietre Vecchie</t>
  </si>
  <si>
    <t xml:space="preserve">Veranda  </t>
  </si>
  <si>
    <t>Paradisio</t>
  </si>
  <si>
    <t>Grand Avenue - Matte</t>
  </si>
  <si>
    <t>Grand Avenue - Polished</t>
  </si>
  <si>
    <t>Park Avenue - Matte</t>
  </si>
  <si>
    <t>44 x 32</t>
  </si>
  <si>
    <t>Park Avenue - Polished</t>
  </si>
  <si>
    <t>Perspective - Pure</t>
  </si>
  <si>
    <t>Cabana</t>
  </si>
  <si>
    <t>31 x 19</t>
  </si>
  <si>
    <t>Cordova</t>
  </si>
  <si>
    <t>Del Mar</t>
  </si>
  <si>
    <t>Rhodes</t>
  </si>
  <si>
    <t>Sommerville</t>
  </si>
  <si>
    <t>Arroyo</t>
  </si>
  <si>
    <t>Camden</t>
  </si>
  <si>
    <t>Cosmopolitan</t>
  </si>
  <si>
    <t>Eurasia</t>
  </si>
  <si>
    <t>Granada</t>
  </si>
  <si>
    <t>Motion</t>
  </si>
  <si>
    <t>Primavera</t>
  </si>
  <si>
    <t>St. Moritz</t>
  </si>
  <si>
    <t>Titan</t>
  </si>
  <si>
    <t>Direction - Matte</t>
  </si>
  <si>
    <t>Paladino - Matte</t>
  </si>
  <si>
    <t>Paladino - Polished</t>
  </si>
  <si>
    <t>Times Square</t>
  </si>
  <si>
    <t>Cali</t>
  </si>
  <si>
    <t>Casa Grande</t>
  </si>
  <si>
    <t>Constantina</t>
  </si>
  <si>
    <t>12.5 x 15</t>
  </si>
  <si>
    <t>Cosmos</t>
  </si>
  <si>
    <t>Monte Vista</t>
  </si>
  <si>
    <t>Santos</t>
  </si>
  <si>
    <t>35 x 23</t>
  </si>
  <si>
    <t>Teresina</t>
  </si>
  <si>
    <t>Valencia</t>
  </si>
  <si>
    <t>Vienna</t>
  </si>
  <si>
    <t>Confetti</t>
  </si>
  <si>
    <t>Confetti Blend</t>
  </si>
  <si>
    <t>Confetti Penny</t>
  </si>
  <si>
    <t>Confetti Penny Blend</t>
  </si>
  <si>
    <t>Flash</t>
  </si>
  <si>
    <t>12 x 13</t>
  </si>
  <si>
    <t>Image</t>
  </si>
  <si>
    <t>Image Blend</t>
  </si>
  <si>
    <t>Vista Combo</t>
  </si>
  <si>
    <t>Vista Linear</t>
  </si>
  <si>
    <t>Vista Linear Blend</t>
  </si>
  <si>
    <t>Color Wave Glass</t>
  </si>
  <si>
    <t>Glass Horizons</t>
  </si>
  <si>
    <t xml:space="preserve">3/4 x 3/4 </t>
  </si>
  <si>
    <t xml:space="preserve">3/4 x </t>
  </si>
  <si>
    <t>Isis Glass</t>
  </si>
  <si>
    <t>Bangle Glass Block Mosaic</t>
  </si>
  <si>
    <t>Optical Glass Block</t>
  </si>
  <si>
    <t>Optical Glass Linear</t>
  </si>
  <si>
    <t>Optical Glass Square</t>
  </si>
  <si>
    <t>Treasure</t>
  </si>
  <si>
    <t>PEBBLES</t>
  </si>
  <si>
    <t>FLAT RIVERA</t>
  </si>
  <si>
    <t>RIVERA FLAT</t>
  </si>
  <si>
    <t>RIVERA ROUND</t>
  </si>
  <si>
    <t xml:space="preserve">VENETIAN </t>
  </si>
  <si>
    <t>Marquis Glass Mosaic</t>
  </si>
  <si>
    <t>Mixed Up 1x1 Mosaic Marble</t>
  </si>
  <si>
    <t>Mixed Up 1x1 Mosaic Slate</t>
  </si>
  <si>
    <t>Mixed Up 1x1 Mosaic Stone</t>
  </si>
  <si>
    <t>Mixed Up 1x1 Mosaic Travertine</t>
  </si>
  <si>
    <t>Mixed Up 5/8" Mosaic Marble</t>
  </si>
  <si>
    <t>Mixed Up 5/8" Mosaic Slate</t>
  </si>
  <si>
    <t>Mixed Up 5/8" Mosaic Stone</t>
  </si>
  <si>
    <t>Mixed Up 5/8" Mosaic Travertine</t>
  </si>
  <si>
    <t>Mixed Up Random Linear Mosaic Marble</t>
  </si>
  <si>
    <t>Mixed Up Random Linear Mosaic Slate</t>
  </si>
  <si>
    <t>Mixed Up Random Linear Mosaic Stone</t>
  </si>
  <si>
    <t>Mixed Up Random Linear Mosaic Travertine</t>
  </si>
  <si>
    <t>Modern Metal Mosaic BC</t>
  </si>
  <si>
    <t>Modern Metal Mosaic BR C</t>
  </si>
  <si>
    <t>Panarama Basic</t>
  </si>
  <si>
    <t>Panarama Mosaic</t>
  </si>
  <si>
    <t>Radiance 2'x4" Mosaic</t>
  </si>
  <si>
    <t>Radiance 4"x4" Mosaic</t>
  </si>
  <si>
    <t>Tumbled Stone 2x2 Mosaic</t>
  </si>
  <si>
    <t>Stone</t>
  </si>
  <si>
    <t>First Snow Marble</t>
  </si>
  <si>
    <t>Fossil Ridge Travertine Vein Cut</t>
  </si>
  <si>
    <t>3 x 8</t>
  </si>
  <si>
    <t>4 x 12</t>
  </si>
  <si>
    <t>4 x 36</t>
  </si>
  <si>
    <t>6 x 36</t>
  </si>
  <si>
    <t>8 x 36</t>
  </si>
  <si>
    <t>Ivory Classico Tumbled Travertine BE10</t>
  </si>
  <si>
    <t>Light Noce Tumbled Travertine BE11</t>
  </si>
  <si>
    <t>Mediteranean Ivory Tumbled Travertine</t>
  </si>
  <si>
    <t>Mendocino Travertine Honed BE14</t>
  </si>
  <si>
    <t>Petrified Forest Travertine Vein Cut</t>
  </si>
  <si>
    <t>Siberian Tundra Limestone</t>
  </si>
  <si>
    <t>6 x 18</t>
  </si>
  <si>
    <t>Sonoma Travertine Honed BE13</t>
  </si>
  <si>
    <t>GRANITE</t>
  </si>
  <si>
    <t>ABSOLUTE BLACK - FLAMED</t>
  </si>
  <si>
    <t>ABSOLUTE BLACK - HONED</t>
  </si>
  <si>
    <t>ABSOLUTE BLACK (PREMIUM)</t>
  </si>
  <si>
    <t>BALTIC BROWN</t>
  </si>
  <si>
    <t>BIANCO CATALINA</t>
  </si>
  <si>
    <t>BLUE PEARL (GT)</t>
  </si>
  <si>
    <t>COFFEE BROWN</t>
  </si>
  <si>
    <t>EMPRESS GOLD</t>
  </si>
  <si>
    <t>GALAXY BLACK</t>
  </si>
  <si>
    <t>GIALLO FIORITO</t>
  </si>
  <si>
    <t>GIALLO ORNAMENTAL</t>
  </si>
  <si>
    <t>GIALLO VENEZIANO</t>
  </si>
  <si>
    <t>IMPALA BLACK</t>
  </si>
  <si>
    <t>MAJESTIC MAUVE</t>
  </si>
  <si>
    <t>NEW VENETIAN GOLD</t>
  </si>
  <si>
    <t>SANTA CECILIA</t>
  </si>
  <si>
    <t>TAN BROWN</t>
  </si>
  <si>
    <t>TROPICAL TAN</t>
  </si>
  <si>
    <t>UBATUBA GREEN</t>
  </si>
  <si>
    <t>VOLGA BLUE</t>
  </si>
  <si>
    <t>LIMESTONE</t>
  </si>
  <si>
    <t>CHAMPAGNE LIGHT</t>
  </si>
  <si>
    <t>CHEVERNY CREAM</t>
  </si>
  <si>
    <t>GASCOGNE BEIGE</t>
  </si>
  <si>
    <t>ISIS GOLD</t>
  </si>
  <si>
    <t>JERUSALEM STONE GOLD - PLUS</t>
  </si>
  <si>
    <t>JURA STONE BEIGE</t>
  </si>
  <si>
    <t>LAGOS AZUL</t>
  </si>
  <si>
    <t>PORTO BEIGE</t>
  </si>
  <si>
    <t>SPADA BROWN</t>
  </si>
  <si>
    <t>AZZURRO NOTTE</t>
  </si>
  <si>
    <t>BALMORAL BEIGE</t>
  </si>
  <si>
    <t>BOTTICINO FIORITO (BORDEAUX SELECT)</t>
  </si>
  <si>
    <t>BRECCIA ONICIATA (SAN JUAN SELECT)</t>
  </si>
  <si>
    <t>CALACATA ORO</t>
  </si>
  <si>
    <t>CLASSIC CREAM</t>
  </si>
  <si>
    <t>DAINO REALE</t>
  </si>
  <si>
    <t>FRENCH VANILLA</t>
  </si>
  <si>
    <t>MEDIUM GREEN (OASIS)</t>
  </si>
  <si>
    <t>METRO BLACK HONED</t>
  </si>
  <si>
    <t>4 x 10</t>
  </si>
  <si>
    <t>6 x 24</t>
  </si>
  <si>
    <t>METRO BLACK POLISHED</t>
  </si>
  <si>
    <t>METRO COFFEE HONED (SANDSTONE)</t>
  </si>
  <si>
    <t>METRO CREAM HONED (LIMESTONE)</t>
  </si>
  <si>
    <t>METRO GRAY HONED (LIMESTONE)</t>
  </si>
  <si>
    <t>METRO MAHOGANY HONED (SANDSTONE)</t>
  </si>
  <si>
    <t>METRO TAUPE HONED</t>
  </si>
  <si>
    <t>METRO WHITE HONED</t>
  </si>
  <si>
    <t>METRO WHITE POLISHED</t>
  </si>
  <si>
    <t>MICHELANGELO</t>
  </si>
  <si>
    <t>MILANO</t>
  </si>
  <si>
    <t>PEARL GRAY</t>
  </si>
  <si>
    <t>RAINFOREST BROWN</t>
  </si>
  <si>
    <t>ROJO ALICANTE</t>
  </si>
  <si>
    <t>SAN MARCOS</t>
  </si>
  <si>
    <t>SILVER</t>
  </si>
  <si>
    <t>ST. CROIX BROWN</t>
  </si>
  <si>
    <t>THASSOS (SNOW WHITE)</t>
  </si>
  <si>
    <t>WHITE CREAM</t>
  </si>
  <si>
    <t>WINTER FROST</t>
  </si>
  <si>
    <t>ONYX</t>
  </si>
  <si>
    <t>CLOVER GREEN</t>
  </si>
  <si>
    <t>GOLDEN HONEY</t>
  </si>
  <si>
    <t>SUNSET RED</t>
  </si>
  <si>
    <t>SLATE</t>
  </si>
  <si>
    <t>AUTUMN LILAC</t>
  </si>
  <si>
    <t>BRAZILIAN BLACK</t>
  </si>
  <si>
    <t>BRAZILIAN MULTICOLOR</t>
  </si>
  <si>
    <t>COPPER QUARTZITE</t>
  </si>
  <si>
    <t>EARTH</t>
  </si>
  <si>
    <t>GOLDEN GREEN QUARTZITE</t>
  </si>
  <si>
    <t>GOLDEN SAND QUARTZITE</t>
  </si>
  <si>
    <t>KOTA OLIVE</t>
  </si>
  <si>
    <t>MIDNIGHT BLACK</t>
  </si>
  <si>
    <t>MULTI FOREST</t>
  </si>
  <si>
    <t>MULTI RAJAH</t>
  </si>
  <si>
    <t>RUSTIC GOLD (CALIFORNIA GOLD)</t>
  </si>
  <si>
    <t>SILVER GRAY QUARTZITE</t>
  </si>
  <si>
    <t>TRAVERTINE</t>
  </si>
  <si>
    <t>TRAV ASTORIA IVORY CLASSIC (PREMIUM)</t>
  </si>
  <si>
    <t>TRAV ASTORIA NOCE CLASSIC</t>
  </si>
  <si>
    <t>TRAV DORE (ANTIQUE)</t>
  </si>
  <si>
    <t>TRAV DORE (SELECT)</t>
  </si>
  <si>
    <t>16 x 32</t>
  </si>
  <si>
    <t>8 x 32</t>
  </si>
  <si>
    <t>TRAV IVORY CLASSIC (PREMIUM)</t>
  </si>
  <si>
    <t>TRAV MOCHA</t>
  </si>
  <si>
    <t>TRAV NOCE CLASSIC</t>
  </si>
  <si>
    <t>TRAV ORO</t>
  </si>
  <si>
    <t>TRAV PENDIO BEIGE</t>
  </si>
  <si>
    <t>TRAV PHILADELPHIA</t>
  </si>
  <si>
    <t>TRAV SAVERA BEIGE</t>
  </si>
  <si>
    <t>TRAV SCABOS</t>
  </si>
  <si>
    <t>TRAV SCABOS VALENCIA</t>
  </si>
  <si>
    <t>TRAV SILVER</t>
  </si>
  <si>
    <t>TRAV UMBRIA NOCE</t>
  </si>
  <si>
    <t>TRAV VANILLA COFFEE</t>
  </si>
  <si>
    <t>15 x 12</t>
  </si>
  <si>
    <t>Tile Selection Program</t>
  </si>
  <si>
    <t>Color</t>
  </si>
  <si>
    <t>Brightwater Template - tile selections and pricing</t>
  </si>
  <si>
    <t>Homeowner's Name Here</t>
  </si>
  <si>
    <t>Date completed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</si>
</sst>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00_);[Red]\(&quot;$&quot;#,##0.00\)"/>
    <numFmt numFmtId="165" formatCode="_(&quot;$&quot;* #,##0.00_);_(&quot;$&quot;* \(#,##0.00\);_(&quot;$&quot;* &quot;-&quot;??_);_(@_)"/>
    <numFmt numFmtId="166" formatCode="&quot;$&quot;#,##0.00"/>
  </numFmts>
  <fonts count="20" x14ac:knownFonts="1">
    <font>
      <sz val="10"/>
      <color indexed="9"/>
      <name val="Arial"/>
      <family val="2"/>
    </font>
    <font>
      <sz val="10"/>
      <color indexed="9"/>
      <name val="Arial"/>
      <family val="2"/>
    </font>
    <font>
      <sz val="11"/>
      <color indexed="62"/>
      <name val="Calibri"/>
      <family val="2"/>
    </font>
    <font>
      <sz val="8"/>
      <name val="Arial"/>
      <family val="2"/>
    </font>
    <font>
      <sz val="11"/>
      <color indexed="8"/>
      <name val="Calibri"/>
      <family val="2"/>
    </font>
    <font>
      <b/>
      <sz val="11"/>
      <name val="Calibri"/>
    </font>
    <font>
      <sz val="11"/>
      <name val="Calibri"/>
      <family val="2"/>
    </font>
    <font>
      <b/>
      <sz val="8"/>
      <color indexed="81"/>
      <name val="Tahoma"/>
    </font>
    <font>
      <sz val="8"/>
      <color indexed="81"/>
      <name val="Tahoma"/>
    </font>
    <font>
      <sz val="10"/>
      <name val="Arial"/>
    </font>
    <font>
      <sz val="11"/>
      <color theme="1"/>
      <name val="Calibri"/>
      <family val="2"/>
      <scheme val="minor"/>
    </font>
    <font>
      <sz val="11"/>
      <name val="Calibri"/>
      <family val="2"/>
      <scheme val="minor"/>
    </font>
    <font>
      <b/>
      <sz val="11"/>
      <name val="Calibri"/>
      <scheme val="minor"/>
    </font>
    <font>
      <sz val="14"/>
      <name val="Calibri"/>
      <scheme val="minor"/>
    </font>
    <font>
      <u/>
      <sz val="10"/>
      <color theme="10"/>
      <name val="Arial"/>
      <family val="2"/>
    </font>
    <font>
      <u/>
      <sz val="10"/>
      <color theme="11"/>
      <name val="Arial"/>
      <family val="2"/>
    </font>
    <font>
      <sz val="12"/>
      <color rgb="FF9C6500"/>
      <name val="Calibri"/>
      <family val="2"/>
    </font>
    <font>
      <sz val="12"/>
      <color rgb="FF000000"/>
      <name val="Garamond"/>
    </font>
    <font>
      <b/>
      <u val="singleAccounting"/>
      <sz val="11"/>
      <name val="Calibri"/>
      <scheme val="minor"/>
    </font>
    <font>
      <sz val="12"/>
      <color rgb="FF000000"/>
      <name val="Lucida Grande"/>
    </font>
  </fonts>
  <fills count="9">
    <fill>
      <patternFill patternType="none"/>
    </fill>
    <fill>
      <patternFill patternType="gray125"/>
    </fill>
    <fill>
      <patternFill patternType="solid">
        <fgColor indexed="47"/>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D9D9"/>
        <bgColor rgb="FF000000"/>
      </patternFill>
    </fill>
    <fill>
      <patternFill patternType="solid">
        <fgColor rgb="FFCCFFCC"/>
        <bgColor indexed="64"/>
      </patternFill>
    </fill>
    <fill>
      <patternFill patternType="solid">
        <fgColor rgb="FFFFEB9C"/>
        <bgColor rgb="FF000000"/>
      </patternFill>
    </fill>
  </fills>
  <borders count="8">
    <border>
      <left/>
      <right/>
      <top/>
      <bottom/>
      <diagonal/>
    </border>
    <border>
      <left style="thin">
        <color indexed="23"/>
      </left>
      <right style="thin">
        <color indexed="23"/>
      </right>
      <top style="thin">
        <color indexed="23"/>
      </top>
      <bottom style="thin">
        <color indexed="23"/>
      </bottom>
      <diagonal/>
    </border>
    <border>
      <left/>
      <right/>
      <top style="thin">
        <color auto="1"/>
      </top>
      <bottom/>
      <diagonal/>
    </border>
    <border>
      <left/>
      <right/>
      <top style="thin">
        <color auto="1"/>
      </top>
      <bottom style="double">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s>
  <cellStyleXfs count="43">
    <xf numFmtId="0" fontId="0" fillId="0" borderId="0"/>
    <xf numFmtId="165" fontId="1" fillId="0" borderId="0" applyFont="0" applyFill="0" applyBorder="0" applyAlignment="0" applyProtection="0"/>
    <xf numFmtId="165" fontId="4" fillId="0" borderId="0" applyFont="0" applyFill="0" applyBorder="0" applyAlignment="0" applyProtection="0"/>
    <xf numFmtId="0" fontId="2" fillId="2" borderId="1" applyNumberFormat="0" applyAlignment="0" applyProtection="0"/>
    <xf numFmtId="0" fontId="10"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cellStyleXfs>
  <cellXfs count="62">
    <xf numFmtId="0" fontId="0" fillId="0" borderId="0" xfId="0"/>
    <xf numFmtId="0" fontId="11" fillId="0" borderId="0" xfId="0" applyFont="1" applyFill="1" applyBorder="1" applyAlignment="1">
      <alignment horizontal="center" vertical="center"/>
    </xf>
    <xf numFmtId="0" fontId="12" fillId="3" borderId="0" xfId="0" applyFont="1" applyFill="1" applyBorder="1" applyAlignment="1">
      <alignment horizontal="center" vertical="center" wrapText="1"/>
    </xf>
    <xf numFmtId="1" fontId="11" fillId="0" borderId="0" xfId="0" applyNumberFormat="1" applyFont="1" applyFill="1" applyBorder="1" applyAlignment="1">
      <alignment horizontal="center" vertical="center"/>
    </xf>
    <xf numFmtId="0" fontId="11" fillId="0" borderId="0" xfId="0" applyFont="1" applyBorder="1" applyAlignment="1">
      <alignment vertical="center"/>
    </xf>
    <xf numFmtId="0" fontId="11" fillId="0" borderId="0" xfId="0" applyFont="1" applyBorder="1" applyAlignment="1">
      <alignment horizontal="center" vertical="center"/>
    </xf>
    <xf numFmtId="0" fontId="12" fillId="0" borderId="0" xfId="0" applyFont="1" applyBorder="1" applyAlignment="1">
      <alignment vertical="center"/>
    </xf>
    <xf numFmtId="0" fontId="12" fillId="0" borderId="2"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14" fontId="11" fillId="0" borderId="0" xfId="1" applyNumberFormat="1" applyFont="1" applyFill="1" applyBorder="1" applyAlignment="1">
      <alignment horizontal="center" vertical="center"/>
    </xf>
    <xf numFmtId="165" fontId="11" fillId="0" borderId="0" xfId="1" applyFont="1" applyFill="1" applyBorder="1" applyAlignment="1">
      <alignment horizontal="center" vertical="center"/>
    </xf>
    <xf numFmtId="166" fontId="11" fillId="0" borderId="0" xfId="0" applyNumberFormat="1" applyFont="1" applyFill="1" applyBorder="1" applyAlignment="1">
      <alignment horizontal="center" vertical="center"/>
    </xf>
    <xf numFmtId="166" fontId="11" fillId="0" borderId="0" xfId="1" applyNumberFormat="1" applyFont="1" applyFill="1" applyBorder="1" applyAlignment="1">
      <alignment horizontal="center" vertical="center"/>
    </xf>
    <xf numFmtId="166" fontId="12" fillId="0" borderId="2" xfId="0" applyNumberFormat="1" applyFont="1" applyFill="1" applyBorder="1" applyAlignment="1">
      <alignment horizontal="center" vertical="center"/>
    </xf>
    <xf numFmtId="166" fontId="12" fillId="0" borderId="2" xfId="1" applyNumberFormat="1" applyFont="1" applyFill="1" applyBorder="1" applyAlignment="1">
      <alignment horizontal="center" vertical="center"/>
    </xf>
    <xf numFmtId="165" fontId="12" fillId="0" borderId="2" xfId="1" applyFont="1" applyFill="1" applyBorder="1" applyAlignment="1">
      <alignment horizontal="center" vertical="center"/>
    </xf>
    <xf numFmtId="166"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165" fontId="11" fillId="0" borderId="0" xfId="1" applyFont="1" applyBorder="1" applyAlignment="1">
      <alignment horizontal="center" vertical="center"/>
    </xf>
    <xf numFmtId="0" fontId="12" fillId="3" borderId="0" xfId="0" applyFont="1" applyFill="1" applyBorder="1" applyAlignment="1">
      <alignment horizontal="center" vertical="center"/>
    </xf>
    <xf numFmtId="166" fontId="11" fillId="0" borderId="0" xfId="0" applyNumberFormat="1" applyFont="1" applyBorder="1" applyAlignment="1">
      <alignment horizontal="center" vertical="center"/>
    </xf>
    <xf numFmtId="0" fontId="11" fillId="3" borderId="0" xfId="0" applyFont="1" applyFill="1" applyBorder="1" applyAlignment="1">
      <alignment horizontal="center" vertical="center"/>
    </xf>
    <xf numFmtId="164" fontId="11" fillId="4" borderId="0" xfId="0" applyNumberFormat="1" applyFont="1" applyFill="1" applyBorder="1" applyAlignment="1">
      <alignment horizontal="center" vertical="center"/>
    </xf>
    <xf numFmtId="2" fontId="11" fillId="4" borderId="0" xfId="0" applyNumberFormat="1" applyFont="1" applyFill="1" applyBorder="1" applyAlignment="1">
      <alignment horizontal="center" vertical="center"/>
    </xf>
    <xf numFmtId="0" fontId="12" fillId="0" borderId="0" xfId="0" applyFont="1" applyBorder="1" applyAlignment="1">
      <alignment horizontal="center" vertical="center" wrapText="1"/>
    </xf>
    <xf numFmtId="0" fontId="11" fillId="0" borderId="0" xfId="0" applyFont="1" applyBorder="1" applyAlignment="1">
      <alignment horizontal="right"/>
    </xf>
    <xf numFmtId="0" fontId="11" fillId="5" borderId="0" xfId="0" applyFont="1" applyFill="1" applyBorder="1" applyAlignment="1">
      <alignment horizontal="center" vertical="center"/>
    </xf>
    <xf numFmtId="1" fontId="11" fillId="5" borderId="0" xfId="0" applyNumberFormat="1" applyFont="1" applyFill="1" applyBorder="1" applyAlignment="1">
      <alignment horizontal="center" vertical="center"/>
    </xf>
    <xf numFmtId="0" fontId="11" fillId="3" borderId="0" xfId="0" applyFont="1" applyFill="1" applyBorder="1" applyAlignment="1">
      <alignment horizontal="center" vertical="center" wrapText="1"/>
    </xf>
    <xf numFmtId="0" fontId="5" fillId="6" borderId="0" xfId="0" applyFont="1" applyFill="1" applyAlignment="1">
      <alignment horizontal="center" vertical="center" wrapText="1"/>
    </xf>
    <xf numFmtId="0" fontId="6" fillId="0" borderId="0" xfId="0" applyFont="1" applyAlignment="1">
      <alignment horizontal="center" vertical="center"/>
    </xf>
    <xf numFmtId="0" fontId="9" fillId="0" borderId="0" xfId="0" applyFont="1"/>
    <xf numFmtId="1" fontId="9" fillId="0" borderId="0" xfId="0" applyNumberFormat="1" applyFont="1"/>
    <xf numFmtId="165" fontId="9" fillId="0" borderId="0" xfId="1" applyFont="1"/>
    <xf numFmtId="166" fontId="11" fillId="5" borderId="0" xfId="1" applyNumberFormat="1" applyFont="1" applyFill="1" applyBorder="1" applyAlignment="1">
      <alignment horizontal="center" vertical="center"/>
    </xf>
    <xf numFmtId="0" fontId="13" fillId="0" borderId="0" xfId="0" applyFont="1" applyBorder="1" applyAlignment="1">
      <alignment horizontal="center" vertical="center"/>
    </xf>
    <xf numFmtId="0" fontId="12" fillId="7" borderId="3" xfId="0" applyFont="1" applyFill="1" applyBorder="1" applyAlignment="1">
      <alignment horizontal="center" vertical="center"/>
    </xf>
    <xf numFmtId="166" fontId="12" fillId="7" borderId="3" xfId="0" applyNumberFormat="1" applyFont="1" applyFill="1" applyBorder="1" applyAlignment="1">
      <alignment horizontal="center" vertical="center"/>
    </xf>
    <xf numFmtId="165" fontId="12" fillId="7" borderId="3" xfId="0" applyNumberFormat="1" applyFont="1" applyFill="1" applyBorder="1" applyAlignment="1">
      <alignment horizontal="center" vertical="center"/>
    </xf>
    <xf numFmtId="166" fontId="12" fillId="7" borderId="3" xfId="1" applyNumberFormat="1" applyFont="1" applyFill="1" applyBorder="1" applyAlignment="1">
      <alignment horizontal="center" vertical="center"/>
    </xf>
    <xf numFmtId="0" fontId="12" fillId="7" borderId="3" xfId="0" applyFont="1" applyFill="1" applyBorder="1" applyAlignment="1">
      <alignment horizontal="center" vertical="center" wrapText="1"/>
    </xf>
    <xf numFmtId="0" fontId="12" fillId="7" borderId="3" xfId="0" applyFont="1" applyFill="1" applyBorder="1" applyAlignment="1">
      <alignment horizontal="right" vertical="center"/>
    </xf>
    <xf numFmtId="166" fontId="12" fillId="0" borderId="0" xfId="0" applyNumberFormat="1" applyFont="1" applyBorder="1" applyAlignment="1">
      <alignment horizontal="center" vertical="center"/>
    </xf>
    <xf numFmtId="165" fontId="12" fillId="0" borderId="0" xfId="0" applyNumberFormat="1" applyFont="1" applyBorder="1" applyAlignment="1">
      <alignment horizontal="center" vertical="center"/>
    </xf>
    <xf numFmtId="166" fontId="12" fillId="0" borderId="0" xfId="1" applyNumberFormat="1" applyFont="1" applyFill="1" applyBorder="1" applyAlignment="1">
      <alignment horizontal="center" vertical="center"/>
    </xf>
    <xf numFmtId="0" fontId="12" fillId="7" borderId="0" xfId="0" applyFont="1" applyFill="1" applyBorder="1" applyAlignment="1">
      <alignment horizontal="center" vertical="center"/>
    </xf>
    <xf numFmtId="0" fontId="11" fillId="7" borderId="0" xfId="0" applyFont="1" applyFill="1" applyBorder="1" applyAlignment="1">
      <alignment horizontal="center" vertical="center"/>
    </xf>
    <xf numFmtId="165" fontId="11" fillId="7" borderId="0" xfId="1" applyFont="1" applyFill="1" applyBorder="1" applyAlignment="1">
      <alignment horizontal="center" vertical="center"/>
    </xf>
    <xf numFmtId="166" fontId="11" fillId="7" borderId="0" xfId="1" applyNumberFormat="1" applyFont="1" applyFill="1" applyBorder="1" applyAlignment="1">
      <alignment horizontal="center" vertical="center"/>
    </xf>
    <xf numFmtId="0" fontId="11" fillId="0" borderId="0" xfId="0" applyFont="1" applyBorder="1" applyAlignment="1">
      <alignment horizontal="left" vertical="center"/>
    </xf>
    <xf numFmtId="0" fontId="16" fillId="8" borderId="4" xfId="0" applyFont="1" applyFill="1" applyBorder="1" applyAlignment="1">
      <alignment vertical="top"/>
    </xf>
    <xf numFmtId="0" fontId="16" fillId="8" borderId="5" xfId="0" applyFont="1" applyFill="1" applyBorder="1" applyAlignment="1">
      <alignment vertical="top"/>
    </xf>
    <xf numFmtId="166" fontId="16" fillId="8" borderId="5" xfId="0" applyNumberFormat="1" applyFont="1" applyFill="1" applyBorder="1" applyAlignment="1">
      <alignment vertical="top"/>
    </xf>
    <xf numFmtId="0" fontId="17" fillId="0" borderId="6" xfId="0" applyFont="1" applyBorder="1" applyAlignment="1">
      <alignment vertical="top"/>
    </xf>
    <xf numFmtId="0" fontId="17" fillId="0" borderId="7" xfId="0" applyFont="1" applyBorder="1" applyAlignment="1">
      <alignment vertical="top"/>
    </xf>
    <xf numFmtId="166" fontId="17" fillId="0" borderId="7" xfId="0" applyNumberFormat="1" applyFont="1" applyBorder="1" applyAlignment="1">
      <alignment vertical="top"/>
    </xf>
    <xf numFmtId="0" fontId="17" fillId="0" borderId="7" xfId="0" applyFont="1" applyBorder="1" applyAlignment="1">
      <alignment vertical="top" wrapText="1"/>
    </xf>
    <xf numFmtId="0" fontId="11" fillId="0" borderId="0" xfId="0" applyFont="1" applyAlignment="1">
      <alignment horizontal="center" vertical="center"/>
    </xf>
    <xf numFmtId="166" fontId="6" fillId="2" borderId="1" xfId="3" applyNumberFormat="1" applyFont="1" applyAlignment="1">
      <alignment horizontal="center" vertical="center"/>
    </xf>
    <xf numFmtId="165" fontId="18" fillId="0" borderId="0" xfId="1" applyFont="1" applyBorder="1" applyAlignment="1">
      <alignment horizontal="center" vertical="center"/>
    </xf>
    <xf numFmtId="165" fontId="18" fillId="0" borderId="0" xfId="1" applyFont="1" applyBorder="1" applyAlignment="1">
      <alignment horizontal="center" vertical="center"/>
    </xf>
  </cellXfs>
  <cellStyles count="43">
    <cellStyle name="Currency" xfId="1" builtinId="4"/>
    <cellStyle name="Currency 2" xfId="2"/>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Input" xfId="3" builtinId="20"/>
    <cellStyle name="Normal" xfId="0" builtinId="0"/>
    <cellStyle name="Normal 2" xfId="4"/>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22</xdr:col>
      <xdr:colOff>55880</xdr:colOff>
      <xdr:row>0</xdr:row>
      <xdr:rowOff>50800</xdr:rowOff>
    </xdr:from>
    <xdr:to>
      <xdr:col>23</xdr:col>
      <xdr:colOff>1036320</xdr:colOff>
      <xdr:row>1</xdr:row>
      <xdr:rowOff>185420</xdr:rowOff>
    </xdr:to>
    <xdr:pic>
      <xdr:nvPicPr>
        <xdr:cNvPr id="2479" name="Picture 1" descr="Brightwater logo.eps"/>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69080" y="50800"/>
          <a:ext cx="2291080" cy="347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203200</xdr:colOff>
          <xdr:row>0</xdr:row>
          <xdr:rowOff>38100</xdr:rowOff>
        </xdr:from>
        <xdr:to>
          <xdr:col>15</xdr:col>
          <xdr:colOff>1054100</xdr:colOff>
          <xdr:row>1</xdr:row>
          <xdr:rowOff>190500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101600</xdr:colOff>
          <xdr:row>1</xdr:row>
          <xdr:rowOff>25400</xdr:rowOff>
        </xdr:from>
        <xdr:to>
          <xdr:col>18</xdr:col>
          <xdr:colOff>711200</xdr:colOff>
          <xdr:row>3</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393700</xdr:colOff>
          <xdr:row>1</xdr:row>
          <xdr:rowOff>12700</xdr:rowOff>
        </xdr:from>
        <xdr:to>
          <xdr:col>17</xdr:col>
          <xdr:colOff>1003300</xdr:colOff>
          <xdr:row>2</xdr:row>
          <xdr:rowOff>88900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177800</xdr:colOff>
          <xdr:row>1</xdr:row>
          <xdr:rowOff>25400</xdr:rowOff>
        </xdr:from>
        <xdr:to>
          <xdr:col>19</xdr:col>
          <xdr:colOff>787400</xdr:colOff>
          <xdr:row>3</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1</xdr:row>
          <xdr:rowOff>25400</xdr:rowOff>
        </xdr:from>
        <xdr:to>
          <xdr:col>16</xdr:col>
          <xdr:colOff>762000</xdr:colOff>
          <xdr:row>2</xdr:row>
          <xdr:rowOff>88900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177800</xdr:colOff>
          <xdr:row>0</xdr:row>
          <xdr:rowOff>50800</xdr:rowOff>
        </xdr:from>
        <xdr:to>
          <xdr:col>20</xdr:col>
          <xdr:colOff>1016000</xdr:colOff>
          <xdr:row>2</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Z129"/>
  <sheetViews>
    <sheetView tabSelected="1" zoomScale="125" zoomScaleNormal="125" zoomScalePageLayoutView="125" workbookViewId="0">
      <pane xSplit="5" ySplit="4" topLeftCell="F5" activePane="bottomRight" state="frozen"/>
      <selection pane="topRight" activeCell="F1" sqref="F1"/>
      <selection pane="bottomLeft" activeCell="A5" sqref="A5"/>
      <selection pane="bottomRight" activeCell="E6" sqref="E6"/>
    </sheetView>
  </sheetViews>
  <sheetFormatPr baseColWidth="10" defaultColWidth="8.83203125" defaultRowHeight="14" outlineLevelRow="3" outlineLevelCol="1" x14ac:dyDescent="0"/>
  <cols>
    <col min="1" max="1" width="34.5" style="5" bestFit="1" customWidth="1"/>
    <col min="2" max="2" width="9.33203125" style="5" customWidth="1" outlineLevel="1"/>
    <col min="3" max="4" width="9.6640625" style="5" customWidth="1" outlineLevel="1"/>
    <col min="5" max="5" width="8.5" style="5" bestFit="1" customWidth="1"/>
    <col min="6" max="6" width="11" style="5" customWidth="1" outlineLevel="1"/>
    <col min="7" max="7" width="15" style="5" customWidth="1" outlineLevel="1"/>
    <col min="8" max="8" width="9.83203125" style="5" customWidth="1" outlineLevel="1"/>
    <col min="9" max="9" width="12" style="5" customWidth="1" outlineLevel="1"/>
    <col min="10" max="10" width="15" style="5" bestFit="1" customWidth="1"/>
    <col min="11" max="12" width="10.83203125" style="19" customWidth="1" outlineLevel="1"/>
    <col min="13" max="13" width="14.1640625" style="5" customWidth="1" outlineLevel="1"/>
    <col min="14" max="15" width="10.83203125" style="19" customWidth="1"/>
    <col min="16" max="16" width="16.33203125" style="19" bestFit="1" customWidth="1"/>
    <col min="17" max="17" width="11.6640625" style="19" bestFit="1" customWidth="1"/>
    <col min="18" max="18" width="19.5" style="19" bestFit="1" customWidth="1"/>
    <col min="19" max="19" width="10.83203125" style="19" customWidth="1"/>
    <col min="20" max="21" width="14.83203125" style="5" customWidth="1"/>
    <col min="22" max="22" width="15.83203125" style="5" customWidth="1"/>
    <col min="23" max="23" width="17.1640625" style="5" bestFit="1" customWidth="1"/>
    <col min="24" max="24" width="15.83203125" style="5" customWidth="1"/>
    <col min="25" max="16384" width="8.83203125" style="4"/>
  </cols>
  <sheetData>
    <row r="1" spans="1:24" ht="17">
      <c r="A1" s="9" t="s">
        <v>707</v>
      </c>
      <c r="B1" s="9"/>
      <c r="C1" s="9"/>
      <c r="D1" s="9"/>
      <c r="E1" s="10" t="s">
        <v>709</v>
      </c>
      <c r="Q1" s="61" t="s">
        <v>705</v>
      </c>
      <c r="R1" s="61"/>
      <c r="S1" s="61"/>
      <c r="T1" s="61"/>
      <c r="U1" s="60"/>
    </row>
    <row r="2" spans="1:24" ht="16" customHeight="1">
      <c r="A2" s="6" t="s">
        <v>708</v>
      </c>
      <c r="B2" s="6"/>
      <c r="C2" s="6"/>
      <c r="D2" s="6"/>
      <c r="F2" s="10"/>
      <c r="G2" s="1"/>
      <c r="H2" s="1"/>
      <c r="I2" s="1"/>
      <c r="J2" s="1"/>
      <c r="K2" s="11"/>
      <c r="L2" s="5"/>
      <c r="M2" s="1"/>
      <c r="N2" s="10"/>
      <c r="O2" s="10"/>
      <c r="P2" s="10"/>
      <c r="Q2" s="10"/>
      <c r="R2" s="10"/>
      <c r="S2" s="10"/>
      <c r="T2" s="36"/>
      <c r="U2" s="36"/>
      <c r="V2" s="1"/>
      <c r="W2" s="1"/>
      <c r="X2" s="1"/>
    </row>
    <row r="3" spans="1:24" ht="8" customHeight="1">
      <c r="A3" s="6"/>
      <c r="B3" s="6"/>
      <c r="C3" s="6"/>
      <c r="D3" s="6"/>
      <c r="F3" s="10"/>
      <c r="G3" s="1"/>
      <c r="H3" s="1"/>
      <c r="I3" s="1"/>
      <c r="J3" s="1"/>
      <c r="K3" s="11"/>
      <c r="L3" s="5"/>
      <c r="M3" s="1"/>
      <c r="N3" s="10"/>
      <c r="O3" s="10"/>
      <c r="P3" s="10"/>
      <c r="Q3" s="10"/>
      <c r="R3" s="10"/>
      <c r="S3" s="10"/>
      <c r="T3" s="1"/>
      <c r="U3" s="1"/>
      <c r="V3" s="1"/>
      <c r="W3" s="1"/>
      <c r="X3" s="1"/>
    </row>
    <row r="4" spans="1:24" s="25" customFormat="1" ht="28">
      <c r="A4" s="2" t="s">
        <v>100</v>
      </c>
      <c r="B4" s="2" t="s">
        <v>35</v>
      </c>
      <c r="C4" s="2" t="s">
        <v>36</v>
      </c>
      <c r="D4" s="2" t="s">
        <v>37</v>
      </c>
      <c r="E4" s="2" t="s">
        <v>13</v>
      </c>
      <c r="F4" s="2" t="s">
        <v>12</v>
      </c>
      <c r="G4" s="2" t="s">
        <v>22</v>
      </c>
      <c r="H4" s="2" t="s">
        <v>21</v>
      </c>
      <c r="I4" s="2" t="s">
        <v>20</v>
      </c>
      <c r="J4" s="2" t="s">
        <v>16</v>
      </c>
      <c r="K4" s="2" t="s">
        <v>19</v>
      </c>
      <c r="L4" s="2" t="s">
        <v>18</v>
      </c>
      <c r="M4" s="2" t="s">
        <v>17</v>
      </c>
      <c r="N4" s="2" t="s">
        <v>15</v>
      </c>
      <c r="O4" s="2" t="s">
        <v>14</v>
      </c>
      <c r="P4" s="2" t="s">
        <v>194</v>
      </c>
      <c r="Q4" s="2" t="s">
        <v>198</v>
      </c>
      <c r="R4" s="2" t="s">
        <v>195</v>
      </c>
      <c r="S4" s="2" t="s">
        <v>196</v>
      </c>
      <c r="T4" s="20" t="s">
        <v>197</v>
      </c>
      <c r="U4" s="20" t="s">
        <v>706</v>
      </c>
      <c r="V4" s="20" t="s">
        <v>119</v>
      </c>
      <c r="W4" s="20" t="s">
        <v>10</v>
      </c>
      <c r="X4" s="20" t="s">
        <v>120</v>
      </c>
    </row>
    <row r="5" spans="1:24">
      <c r="A5" s="31" t="s">
        <v>85</v>
      </c>
      <c r="B5" s="31"/>
      <c r="C5" s="31"/>
      <c r="D5" s="31"/>
      <c r="E5" s="1">
        <v>12</v>
      </c>
      <c r="F5" s="27" t="s">
        <v>162</v>
      </c>
      <c r="G5" s="28" t="s">
        <v>156</v>
      </c>
      <c r="H5" s="12">
        <f>IF($F5=$F$82,INDEX($G$83:$J$101,MATCH($G5,$J$83:$J$101,-1),1),IF($F5=$L$82,INDEX($M$83:$T$97,MATCH($G5,$T$83:$T$97,-1),1),IF($F5=$F$106,INDEX($G$107:$J$116,MATCH($G5,$J$107:$J$116,-1),1),VLOOKUP($F5,$F$120:$I$128,2,FALSE))))</f>
        <v>5.55</v>
      </c>
      <c r="I5" s="13">
        <f>H5*E5</f>
        <v>66.599999999999994</v>
      </c>
      <c r="J5" s="3" t="str">
        <f>IF(OR($F5=$F$123,$F5=$F$124,$F5=$F$125,$F5=$F$126,$F5=$F$127,$F5=$F$128),$F5,IF($F5=$F$82,INDEX($G$83:$J$101,MATCH(K5,$G$83:$G$97,-1),4),IF($F5=$L$82,INDEX($M$83:$T$97,MATCH(K5,$M$83:$M$97,-1),4),IF($F5=$F$106,INDEX($G$107:$J$116,MATCH(K5,$G$107:$G$116,-1),4),"CHECK THIS!!"))))</f>
        <v>T-11</v>
      </c>
      <c r="K5" s="35">
        <v>14.03</v>
      </c>
      <c r="L5" s="13">
        <f>E5*K5</f>
        <v>168.35999999999999</v>
      </c>
      <c r="M5" s="12">
        <f>IF(K5&gt;H5,L5-I5,0)</f>
        <v>101.75999999999999</v>
      </c>
      <c r="N5" s="13">
        <f>IF($F5=$F$82,VLOOKUP($J5,$F$83:$I$101,4,),IF($F5=$L$82,VLOOKUP($J5,$L$83:$O$97,4,),IF($F5=$F$106,VLOOKUP($J5,$F$107:$I$116,4,),MROUND($M5*INDEX($F$120:$I$128,MATCH($F5,$F$120:$F$128,0),3),INDEX($F$120:$I$128,MATCH($F5,$F$120:$F$128,0),4)))))</f>
        <v>18.5</v>
      </c>
      <c r="O5" s="13">
        <f>IF(OR(,$F5=$F$123,$F5=$F$124,$F5=$F$125,$F5=$F$126,$F5=$F$127,$F5=$F$128),$N5,IF(OR($F5=$F$82,$F5=$L$82,$F5=$F$106),N5*E5,"CHECK THIS!!"))</f>
        <v>222</v>
      </c>
      <c r="P5"/>
      <c r="Q5"/>
      <c r="R5"/>
      <c r="S5"/>
      <c r="T5"/>
      <c r="U5" s="32"/>
      <c r="V5" s="1" t="s">
        <v>123</v>
      </c>
      <c r="W5" s="1" t="s">
        <v>121</v>
      </c>
      <c r="X5" s="1" t="s">
        <v>126</v>
      </c>
    </row>
    <row r="6" spans="1:24">
      <c r="A6" s="31"/>
      <c r="B6" s="31"/>
      <c r="C6" s="31"/>
      <c r="D6" s="31"/>
      <c r="E6" s="1"/>
      <c r="F6" s="27"/>
      <c r="G6" s="28"/>
      <c r="H6" s="13"/>
      <c r="I6" s="13"/>
      <c r="J6" s="3"/>
      <c r="K6" s="35"/>
      <c r="L6" s="13"/>
      <c r="M6" s="12"/>
      <c r="N6" s="13"/>
      <c r="O6" s="13"/>
      <c r="P6" s="13"/>
      <c r="Q6" s="13"/>
      <c r="R6" s="13"/>
      <c r="S6" s="13"/>
      <c r="T6" s="1"/>
      <c r="U6" s="1"/>
      <c r="V6" s="1"/>
      <c r="W6" s="1"/>
      <c r="X6" s="1"/>
    </row>
    <row r="7" spans="1:24">
      <c r="A7" s="1" t="s">
        <v>1</v>
      </c>
      <c r="B7" s="1">
        <v>240</v>
      </c>
      <c r="C7" s="1">
        <v>12</v>
      </c>
      <c r="D7" s="31">
        <v>1.2</v>
      </c>
      <c r="E7" s="3">
        <v>38</v>
      </c>
      <c r="F7" s="27" t="s">
        <v>162</v>
      </c>
      <c r="G7" s="28" t="s">
        <v>156</v>
      </c>
      <c r="H7" s="12">
        <f>IF($F7=$F$82,INDEX($G$83:$J$101,MATCH($G7,$J$83:$J$101,-1),1),IF($F7=$L$82,INDEX($M$83:$T$97,MATCH($G7,$T$83:$T$97,-1),1),IF($F7=$F$106,INDEX($G$107:$J$116,MATCH($G7,$J$107:$J$116,-1),1),VLOOKUP($F7,$F$120:$I$128,2,FALSE))))</f>
        <v>5.55</v>
      </c>
      <c r="I7" s="13">
        <f>H7*E7</f>
        <v>210.9</v>
      </c>
      <c r="J7" s="3" t="str">
        <f>IF(OR($F7=$F$123,$F7=$F$124,$F7=$F$125,$F7=$F$126,$F7=$F$127,$F7=$F$128),$F7,IF($F7=$F$82,INDEX($G$83:$J$101,MATCH(K7,$G$83:$G$101,-1),4),IF($F7=$L$82,INDEX($M$83:$T$97,MATCH(K7,$M$83:$M$97,-1),4),IF($F7=$F$106,INDEX($G$107:$J$116,MATCH(K7,$G$107:$G$116,-1),4),"CHECK THIS!!"))))</f>
        <v>T-06</v>
      </c>
      <c r="K7" s="59">
        <v>9.07</v>
      </c>
      <c r="L7" s="13">
        <f>E7*K7</f>
        <v>344.66</v>
      </c>
      <c r="M7" s="12">
        <f>IF(K7&gt;H7,L7-I7,0)</f>
        <v>133.76000000000002</v>
      </c>
      <c r="N7" s="13">
        <f>IF($F7=$F$82,VLOOKUP($J7,$F$83:$I$101,4,),IF($F7=$L$82,VLOOKUP($J7,$L$83:$O$97,4,),IF($F7=$F$106,VLOOKUP($J7,$F$107:$I$116,4,),MROUND($M7*INDEX($F$120:$I$128,MATCH($F7,$F$120:$F$128,0),3),INDEX($F$120:$I$128,MATCH($F7,$F$120:$F$128,0),4)))))</f>
        <v>6</v>
      </c>
      <c r="O7" s="13">
        <f>IF(OR(,$F7=$F$123,$F7=$F$124,$F7=$F$125,$F7=$F$126,$F7=$F$127,$F7=$F$128),$N7,IF(OR($F7=$F$82,$F7=$L$82,$F7=$F$106),N7*E7,"CHECK THIS!!"))</f>
        <v>228</v>
      </c>
      <c r="P7"/>
      <c r="Q7"/>
      <c r="R7"/>
      <c r="S7"/>
      <c r="T7"/>
      <c r="U7"/>
      <c r="V7" s="58"/>
      <c r="W7" s="1" t="s">
        <v>121</v>
      </c>
      <c r="X7" s="58" t="s">
        <v>122</v>
      </c>
    </row>
    <row r="8" spans="1:24">
      <c r="A8" s="1" t="s">
        <v>92</v>
      </c>
      <c r="B8" s="1">
        <v>240</v>
      </c>
      <c r="C8" s="1">
        <v>6</v>
      </c>
      <c r="D8" s="31">
        <v>1.2</v>
      </c>
      <c r="E8" s="3">
        <v>7</v>
      </c>
      <c r="F8" s="27" t="s">
        <v>162</v>
      </c>
      <c r="G8" s="28" t="s">
        <v>156</v>
      </c>
      <c r="H8" s="12">
        <f>IF($F8=$F$82,INDEX($G$83:$J$101,MATCH($G8,$J$83:$J$101,-1),1),IF($F8=$L$82,INDEX($M$83:$T$97,MATCH($G8,$T$83:$T$97,-1),1),IF($F8=$F$106,INDEX($G$107:$J$116,MATCH($G8,$J$107:$J$116,-1),1),VLOOKUP($F8,$F$120:$I$128,2,FALSE))))</f>
        <v>5.55</v>
      </c>
      <c r="I8" s="13">
        <f>H8*E8</f>
        <v>38.85</v>
      </c>
      <c r="J8" s="3" t="str">
        <f>IF(OR($F8=$F$123,$F8=$F$124,$F8=$F$125,$F8=$F$126,$F8=$F$127,$F8=$F$128),$F8,IF($F8=$F$82,INDEX($G$83:$J$101,MATCH(K8,$G$83:$G$101,-1),4),IF($F8=$L$82,INDEX($M$83:$T$97,MATCH(K8,$M$83:$M$97,-1),4),IF($F8=$F$106,INDEX($G$107:$J$116,MATCH(K8,$G$107:$G$116,-1),4),"CHECK THIS!!"))))</f>
        <v>T-07</v>
      </c>
      <c r="K8" s="59">
        <v>10.09</v>
      </c>
      <c r="L8" s="13">
        <f>E8*K8</f>
        <v>70.63</v>
      </c>
      <c r="M8" s="12">
        <f>IF(K8&gt;H8,L8-I8,0)</f>
        <v>31.779999999999994</v>
      </c>
      <c r="N8" s="13">
        <f>IF($F8=$F$82,VLOOKUP($J8,$F$83:$I$101,4,),IF($F8=$L$82,VLOOKUP($J8,$L$83:$O$97,4,),IF($F8=$F$106,VLOOKUP($J8,$F$107:$I$116,4,),MROUND($M8*INDEX($F$120:$I$128,MATCH($F8,$F$120:$F$128,0),3),INDEX($F$120:$I$128,MATCH($F8,$F$120:$F$128,0),4)))))</f>
        <v>7.5</v>
      </c>
      <c r="O8" s="13">
        <f>IF(OR(,$F8=$F$123,$F8=$F$124,$F8=$F$125,$F8=$F$126,$F8=$F$127,$F8=$F$128),$N8,IF(OR($F8=$F$82,$F8=$L$82,$F8=$F$106),N8*E8,"CHECK THIS!!"))</f>
        <v>52.5</v>
      </c>
      <c r="P8"/>
      <c r="Q8"/>
      <c r="R8"/>
      <c r="S8"/>
      <c r="T8"/>
      <c r="U8"/>
      <c r="V8" s="58"/>
      <c r="W8" s="1" t="s">
        <v>121</v>
      </c>
      <c r="X8" s="58" t="s">
        <v>122</v>
      </c>
    </row>
    <row r="9" spans="1:24" outlineLevel="1">
      <c r="A9" s="1"/>
      <c r="B9" s="1"/>
      <c r="C9" s="1"/>
      <c r="D9" s="1"/>
      <c r="E9" s="1"/>
      <c r="F9" s="27"/>
      <c r="G9" s="28"/>
      <c r="H9" s="12"/>
      <c r="I9" s="13"/>
      <c r="J9" s="3"/>
      <c r="K9" s="35"/>
      <c r="L9" s="13"/>
      <c r="M9" s="12"/>
      <c r="N9" s="13"/>
      <c r="O9" s="13"/>
      <c r="P9" s="13"/>
      <c r="Q9" s="13"/>
      <c r="R9" s="13"/>
      <c r="S9" s="13"/>
      <c r="T9" s="58"/>
      <c r="U9" s="58"/>
      <c r="V9" s="58"/>
      <c r="W9" s="58"/>
      <c r="X9" s="58"/>
    </row>
    <row r="10" spans="1:24" outlineLevel="1">
      <c r="A10" s="1" t="s">
        <v>93</v>
      </c>
      <c r="B10" s="1">
        <v>60</v>
      </c>
      <c r="C10" s="1">
        <v>18</v>
      </c>
      <c r="D10" s="31">
        <v>1.2</v>
      </c>
      <c r="E10" s="3">
        <v>0</v>
      </c>
      <c r="F10" s="27" t="s">
        <v>162</v>
      </c>
      <c r="G10" s="28" t="s">
        <v>156</v>
      </c>
      <c r="H10" s="12">
        <f>IF($F10=$F$82,INDEX($G$83:$J$101,MATCH($G10,$J$83:$J$101,-1),1),IF($F10=$L$82,INDEX($M$83:$T$97,MATCH($G10,$T$83:$T$97,-1),1),IF($F10=$F$106,INDEX($G$107:$J$116,MATCH($G10,$J$107:$J$116,-1),1),VLOOKUP($F10,$F$120:$I$128,2,FALSE))))</f>
        <v>5.55</v>
      </c>
      <c r="I10" s="13">
        <f>H10*E10</f>
        <v>0</v>
      </c>
      <c r="J10" s="3" t="str">
        <f>IF(OR($F10=$F$123,$F10=$F$124,$F10=$F$125,$F10=$F$126,$F10=$F$127,$F10=$F$128),$F10,IF($F10=$F$82,INDEX($G$83:$J$101,MATCH(K10,$G$83:$G$101,-1),4),IF($F10=$L$82,INDEX($M$83:$T$97,MATCH(K10,$M$83:$M$97,-1),4),IF($F10=$F$106,INDEX($G$107:$J$116,MATCH(K10,$G$107:$G$116,-1),4),"CHECK THIS!!"))))</f>
        <v>T-06</v>
      </c>
      <c r="K10" s="59">
        <v>9.07</v>
      </c>
      <c r="L10" s="13">
        <f>E10*K10</f>
        <v>0</v>
      </c>
      <c r="M10" s="12">
        <f>IF(K10&gt;H10,L10-I10,0)</f>
        <v>0</v>
      </c>
      <c r="N10" s="13">
        <f>IF($F10=$F$82,VLOOKUP($J10,$F$83:$I$101,4,),IF($F10=$L$82,VLOOKUP($J10,$L$83:$O$97,4,),IF($F10=$F$106,VLOOKUP($J10,$F$107:$I$116,4,),MROUND($M10*INDEX($F$120:$I$128,MATCH($F10,$F$120:$F$128,0),3),INDEX($F$120:$I$128,MATCH($F10,$F$120:$F$128,0),4)))))</f>
        <v>6</v>
      </c>
      <c r="O10" s="13">
        <f>IF(OR(,$F10=$F$123,$F10=$F$124,$F10=$F$125,$F10=$F$126,$F10=$F$127,$F10=$F$128),$N10,IF(OR($F10=$F$82,$F10=$L$82,$F10=$F$106),N10*E10,"CHECK THIS!!"))</f>
        <v>0</v>
      </c>
      <c r="P10"/>
      <c r="Q10"/>
      <c r="R10"/>
      <c r="S10"/>
      <c r="T10"/>
      <c r="U10"/>
      <c r="V10" s="58" t="s">
        <v>136</v>
      </c>
      <c r="W10" s="1" t="s">
        <v>121</v>
      </c>
      <c r="X10" s="58" t="s">
        <v>122</v>
      </c>
    </row>
    <row r="11" spans="1:24" outlineLevel="1">
      <c r="A11" s="1" t="s">
        <v>138</v>
      </c>
      <c r="B11" s="1">
        <v>20</v>
      </c>
      <c r="C11" s="1">
        <v>6</v>
      </c>
      <c r="D11" s="31">
        <v>1.2</v>
      </c>
      <c r="E11" s="3">
        <v>0</v>
      </c>
      <c r="F11" s="27" t="s">
        <v>162</v>
      </c>
      <c r="G11" s="28" t="s">
        <v>156</v>
      </c>
      <c r="H11" s="12">
        <f>IF($F11=$F$82,INDEX($G$83:$J$101,MATCH($G11,$J$83:$J$101,-1),1),IF($F11=$L$82,INDEX($M$83:$T$97,MATCH($G11,$T$83:$T$97,-1),1),IF($F11=$F$106,INDEX($G$107:$J$116,MATCH($G11,$J$107:$J$116,-1),1),VLOOKUP($F11,$F$120:$I$128,2,FALSE))))</f>
        <v>5.55</v>
      </c>
      <c r="I11" s="13">
        <f>H11*E11</f>
        <v>0</v>
      </c>
      <c r="J11" s="3" t="str">
        <f>IF(OR($F11=$F$123,$F11=$F$124,$F11=$F$125,$F11=$F$126,$F11=$F$127,$F11=$F$128),$F11,IF($F11=$F$82,INDEX($G$83:$J$101,MATCH(K11,$G$83:$G$101,-1),4),IF($F11=$L$82,INDEX($M$83:$T$97,MATCH(K11,$M$83:$M$97,-1),4),IF($F11=$F$106,INDEX($G$107:$J$116,MATCH(K11,$G$107:$G$116,-1),4),"CHECK THIS!!"))))</f>
        <v>T-07</v>
      </c>
      <c r="K11" s="59">
        <v>10.09</v>
      </c>
      <c r="L11" s="13">
        <f>E11*K11</f>
        <v>0</v>
      </c>
      <c r="M11" s="12">
        <f>IF(K11&gt;H11,L11-I11,0)</f>
        <v>0</v>
      </c>
      <c r="N11" s="13">
        <f>IF($F11=$F$82,VLOOKUP($J11,$F$83:$I$101,4,),IF($F11=$L$82,VLOOKUP($J11,$L$83:$O$97,4,),IF($F11=$F$106,VLOOKUP($J11,$F$107:$I$116,4,),MROUND($M11*INDEX($F$120:$I$128,MATCH($F11,$F$120:$F$128,0),3),INDEX($F$120:$I$128,MATCH($F11,$F$120:$F$128,0),4)))))</f>
        <v>7.5</v>
      </c>
      <c r="O11" s="13">
        <f>IF(OR(,$F11=$F$123,$F11=$F$124,$F11=$F$125,$F11=$F$126,$F11=$F$127,$F11=$F$128),$N11,IF(OR($F11=$F$82,$F11=$L$82,$F11=$F$106),N11*E11,"CHECK THIS!!"))</f>
        <v>0</v>
      </c>
      <c r="P11"/>
      <c r="Q11"/>
      <c r="R11"/>
      <c r="S11"/>
      <c r="T11"/>
      <c r="U11"/>
      <c r="V11" s="58" t="s">
        <v>136</v>
      </c>
      <c r="W11" s="1" t="s">
        <v>121</v>
      </c>
      <c r="X11" s="58" t="s">
        <v>122</v>
      </c>
    </row>
    <row r="12" spans="1:24" s="6" customFormat="1">
      <c r="A12" s="7" t="s">
        <v>9</v>
      </c>
      <c r="B12" s="7"/>
      <c r="C12" s="7"/>
      <c r="D12" s="7"/>
      <c r="E12" s="7"/>
      <c r="F12" s="7"/>
      <c r="G12" s="7"/>
      <c r="H12" s="17"/>
      <c r="I12" s="17">
        <f>SUM(I5:I11)</f>
        <v>316.35000000000002</v>
      </c>
      <c r="J12" s="18"/>
      <c r="K12" s="15"/>
      <c r="L12" s="17">
        <f>SUM(L5:L11)</f>
        <v>583.65</v>
      </c>
      <c r="M12" s="17">
        <f>SUM(M5:M11)</f>
        <v>267.3</v>
      </c>
      <c r="N12" s="17"/>
      <c r="O12" s="17">
        <f>SUM(O5:O11)</f>
        <v>502.5</v>
      </c>
      <c r="P12" s="17"/>
      <c r="Q12" s="17"/>
      <c r="R12" s="17"/>
      <c r="S12" s="17"/>
      <c r="T12" s="7"/>
      <c r="U12" s="7"/>
      <c r="V12" s="7"/>
      <c r="W12" s="7"/>
      <c r="X12" s="7"/>
    </row>
    <row r="13" spans="1:24" s="5" customFormat="1">
      <c r="K13" s="19"/>
      <c r="L13" s="19"/>
      <c r="N13" s="19"/>
      <c r="O13" s="19"/>
      <c r="P13" s="19"/>
      <c r="Q13" s="19"/>
      <c r="R13" s="19"/>
      <c r="S13" s="19"/>
    </row>
    <row r="14" spans="1:24" s="25" customFormat="1" ht="28">
      <c r="A14" s="30" t="s">
        <v>24</v>
      </c>
      <c r="B14" s="2" t="str">
        <f t="shared" ref="B14:X14" si="0">B$4</f>
        <v>Length (inches)</v>
      </c>
      <c r="C14" s="2" t="str">
        <f t="shared" si="0"/>
        <v>Height (inches)</v>
      </c>
      <c r="D14" s="2" t="str">
        <f t="shared" si="0"/>
        <v>Waste Factor</v>
      </c>
      <c r="E14" s="2" t="str">
        <f t="shared" si="0"/>
        <v>SF/Count</v>
      </c>
      <c r="F14" s="2" t="str">
        <f t="shared" si="0"/>
        <v>Tile Type</v>
      </c>
      <c r="G14" s="2" t="str">
        <f t="shared" si="0"/>
        <v>Base Tile_x000D_Level</v>
      </c>
      <c r="H14" s="2" t="str">
        <f t="shared" si="0"/>
        <v>Base Tile_x000D_COST/SF</v>
      </c>
      <c r="I14" s="2" t="str">
        <f t="shared" si="0"/>
        <v>Base Tile_x000D_Total COST</v>
      </c>
      <c r="J14" s="2" t="str">
        <f t="shared" si="0"/>
        <v>Selected Tile_x000D_Level</v>
      </c>
      <c r="K14" s="2" t="str">
        <f t="shared" si="0"/>
        <v>Selected Tile_x000D_COST/SF</v>
      </c>
      <c r="L14" s="2" t="str">
        <f t="shared" si="0"/>
        <v>Selected Tile_x000D_Total COST</v>
      </c>
      <c r="M14" s="2" t="str">
        <f t="shared" si="0"/>
        <v>COST DIFF_x000D_(total compared)</v>
      </c>
      <c r="N14" s="2" t="str">
        <f t="shared" si="0"/>
        <v>Selected Tile_x000D_Price/SF</v>
      </c>
      <c r="O14" s="2" t="str">
        <f t="shared" si="0"/>
        <v>Selected Tile_x000D_Price Total</v>
      </c>
      <c r="P14" s="2" t="str">
        <f t="shared" si="0"/>
        <v>Group</v>
      </c>
      <c r="Q14" s="2" t="str">
        <f t="shared" si="0"/>
        <v>Manufacturer</v>
      </c>
      <c r="R14" s="2" t="str">
        <f t="shared" si="0"/>
        <v>Style</v>
      </c>
      <c r="S14" s="2" t="str">
        <f t="shared" si="0"/>
        <v>Type</v>
      </c>
      <c r="T14" s="2" t="str">
        <f t="shared" si="0"/>
        <v>Dimension</v>
      </c>
      <c r="U14" s="2" t="str">
        <f t="shared" si="0"/>
        <v>Color</v>
      </c>
      <c r="V14" s="2" t="str">
        <f t="shared" si="0"/>
        <v>Grout</v>
      </c>
      <c r="W14" s="2" t="str">
        <f t="shared" si="0"/>
        <v>Pattern</v>
      </c>
      <c r="X14" s="2" t="str">
        <f t="shared" si="0"/>
        <v>Direction</v>
      </c>
    </row>
    <row r="15" spans="1:24">
      <c r="A15" s="31" t="s">
        <v>129</v>
      </c>
      <c r="B15" s="31"/>
      <c r="C15" s="31"/>
      <c r="D15" s="31"/>
      <c r="E15" s="1">
        <v>155</v>
      </c>
      <c r="F15" s="27" t="s">
        <v>162</v>
      </c>
      <c r="G15" s="28" t="s">
        <v>156</v>
      </c>
      <c r="H15" s="12">
        <f>IF($F15=$F$82,INDEX($G$83:$J$101,MATCH($G15,$J$83:$J$101,-1),1),IF($F15=$L$82,INDEX($M$83:$T$97,MATCH($G15,$T$83:$T$97,-1),1),IF($F15=$F$106,INDEX($G$107:$J$116,MATCH($G15,$J$107:$J$116,-1),1),VLOOKUP($F15,$F$120:$I$128,2,FALSE))))</f>
        <v>5.55</v>
      </c>
      <c r="I15" s="13">
        <f>H15*E15</f>
        <v>860.25</v>
      </c>
      <c r="J15" s="3" t="str">
        <f>IF(OR($F15=$F$123,$F15=$F$124,$F15=$F$125,$F15=$F$126,$F15=$F$127,$F15=$F$128),$F15,IF($F15=$F$82,INDEX($G$83:$J$101,MATCH(K15,$G$83:$G$101,-1),4),IF($F15=$L$82,INDEX($M$83:$T$97,MATCH(K15,$M$83:$M$97,-1),4),IF($F15=$F$106,INDEX($G$107:$J$116,MATCH(K15,$G$107:$G$116,-1),4),"CHECK THIS!!"))))</f>
        <v>T-04</v>
      </c>
      <c r="K15" s="35">
        <v>7.6</v>
      </c>
      <c r="L15" s="13">
        <f>E15*K15</f>
        <v>1178</v>
      </c>
      <c r="M15" s="12">
        <f>IF(K15&gt;H15,L15-I15,0)</f>
        <v>317.75</v>
      </c>
      <c r="N15" s="13">
        <f>IF($F15=$F$82,VLOOKUP($J15,$F$83:$I$101,4,),IF($F15=$L$82,VLOOKUP($J15,$L$83:$O$97,4,),IF($F15=$F$106,VLOOKUP($J15,$F$107:$I$116,4,),MROUND($M15*INDEX($F$120:$I$128,MATCH($F15,$F$120:$F$128,0),3),INDEX($F$120:$I$128,MATCH($F15,$F$120:$F$128,0),4)))))</f>
        <v>3</v>
      </c>
      <c r="O15" s="13">
        <f>IF(OR(,$F15=$F$123,$F15=$F$124,$F15=$F$125,$F15=$F$126,$F15=$F$127,$F15=$F$128),$N15,IF(OR($F15=$F$82,$F15=$L$82,$F15=$F$106),N15*E15,"CHECK THIS!!"))</f>
        <v>465</v>
      </c>
      <c r="P15"/>
      <c r="Q15"/>
      <c r="R15"/>
      <c r="S15"/>
      <c r="T15"/>
      <c r="U15"/>
      <c r="V15" s="1"/>
      <c r="W15" s="1" t="s">
        <v>121</v>
      </c>
      <c r="X15" s="1" t="s">
        <v>126</v>
      </c>
    </row>
    <row r="16" spans="1:24">
      <c r="A16" s="31"/>
      <c r="B16" s="31"/>
      <c r="C16" s="31"/>
      <c r="D16" s="31"/>
      <c r="E16" s="1"/>
      <c r="F16" s="27"/>
      <c r="G16" s="28"/>
      <c r="H16" s="12"/>
      <c r="I16" s="13"/>
      <c r="J16" s="3"/>
      <c r="K16" s="35"/>
      <c r="L16" s="13"/>
      <c r="M16" s="12"/>
      <c r="N16" s="13"/>
      <c r="O16" s="13"/>
      <c r="P16" s="13"/>
      <c r="Q16" s="13"/>
      <c r="R16" s="13"/>
      <c r="S16" s="13"/>
      <c r="T16" s="1"/>
      <c r="U16" s="1"/>
      <c r="V16" s="1"/>
      <c r="W16" s="1"/>
      <c r="X16" s="1"/>
    </row>
    <row r="17" spans="1:24">
      <c r="A17" s="31" t="s">
        <v>127</v>
      </c>
      <c r="B17" s="31">
        <f>10*12</f>
        <v>120</v>
      </c>
      <c r="C17" s="31">
        <f>9*12</f>
        <v>108</v>
      </c>
      <c r="D17" s="31">
        <v>1.2</v>
      </c>
      <c r="E17" s="3">
        <v>3</v>
      </c>
      <c r="F17" s="27" t="s">
        <v>162</v>
      </c>
      <c r="G17" s="28" t="s">
        <v>156</v>
      </c>
      <c r="H17" s="12">
        <f>IF($F17=$F$82,INDEX($G$83:$J$101,MATCH($G17,$J$83:$J$101,-1),1),IF($F17=$L$82,INDEX($M$83:$T$97,MATCH($G17,$T$83:$T$97,-1),1),IF($F17=$F$106,INDEX($G$107:$J$116,MATCH($G17,$J$107:$J$116,-1),1),VLOOKUP($F17,$F$120:$I$128,2,FALSE))))</f>
        <v>5.55</v>
      </c>
      <c r="I17" s="13">
        <f>H17*E17</f>
        <v>16.649999999999999</v>
      </c>
      <c r="J17" s="3" t="str">
        <f>IF(OR($F17=$F$123,$F17=$F$124,$F17=$F$125,$F17=$F$126,$F17=$F$127,$F17=$F$128),$F17,IF($F17=$F$82,INDEX($G$83:$J$101,MATCH(K17,$G$83:$G$101,-1),4),IF($F17=$L$82,INDEX($M$83:$T$97,MATCH(K17,$M$83:$M$97,-1),4),IF($F17=$F$106,INDEX($G$107:$J$116,MATCH(K17,$G$107:$G$116,-1),4),"CHECK THIS!!"))))</f>
        <v>T-04</v>
      </c>
      <c r="K17" s="35">
        <v>7.6</v>
      </c>
      <c r="L17" s="13">
        <f>E17*K17</f>
        <v>22.799999999999997</v>
      </c>
      <c r="M17" s="12">
        <f>IF(K17&gt;H17,L17-I17,0)</f>
        <v>6.1499999999999986</v>
      </c>
      <c r="N17" s="13">
        <f>IF($F17=$F$82,VLOOKUP($J17,$F$83:$I$101,4,),IF($F17=$L$82,VLOOKUP($J17,$L$83:$O$97,4,),IF($F17=$F$106,VLOOKUP($J17,$F$107:$I$116,4,),MROUND($M17*INDEX($F$120:$I$128,MATCH($F17,$F$120:$F$128,0),3),INDEX($F$120:$I$128,MATCH($F17,$F$120:$F$128,0),4)))))</f>
        <v>3</v>
      </c>
      <c r="O17" s="13">
        <f>IF(OR(,$F17=$F$123,$F17=$F$124,$F17=$F$125,$F17=$F$126,$F17=$F$127,$F17=$F$128),$N17,IF(OR($F17=$F$82,$F17=$L$82,$F17=$F$106),N17*E17,"CHECK THIS!!"))</f>
        <v>9</v>
      </c>
      <c r="P17"/>
      <c r="Q17"/>
      <c r="R17"/>
      <c r="S17"/>
      <c r="T17"/>
      <c r="U17"/>
      <c r="V17" s="1"/>
      <c r="W17" s="1" t="s">
        <v>121</v>
      </c>
      <c r="X17" s="1" t="s">
        <v>122</v>
      </c>
    </row>
    <row r="18" spans="1:24" hidden="1" outlineLevel="3">
      <c r="A18" s="31" t="s">
        <v>135</v>
      </c>
      <c r="B18" s="31"/>
      <c r="C18" s="31"/>
      <c r="D18" s="31"/>
      <c r="E18" s="3">
        <v>0</v>
      </c>
      <c r="F18" s="27" t="s">
        <v>166</v>
      </c>
      <c r="G18" s="28" t="s">
        <v>156</v>
      </c>
      <c r="H18" s="12">
        <f>IF($F18=$F$82,INDEX($G$83:$J$101,MATCH($G18,$J$83:$J$101,-1),1),IF($F18=$L$82,INDEX($M$83:$T$97,MATCH($G18,$T$83:$T$97,-1),1),IF($F18=$F$106,INDEX($G$107:$J$116,MATCH($G18,$J$107:$J$116,-1),1),VLOOKUP($F18,$F$120:$I$128,2,FALSE))))</f>
        <v>0</v>
      </c>
      <c r="I18" s="13">
        <f>H18*E18</f>
        <v>0</v>
      </c>
      <c r="J18" s="3" t="str">
        <f>IF(OR($F18=$F$123,$F18=$F$124,$F18=$F$125,$F18=$F$126,$F18=$F$127,$F18=$F$128),$F18,IF($F18=$F$82,INDEX($G$83:$J$101,MATCH(K18,$G$83:$G$101,-1),4),IF($F18=$L$82,INDEX($M$83:$T$97,MATCH(K18,$M$83:$M$97,-1),4),IF($F18=$F$106,INDEX($G$107:$J$116,MATCH(K18,$G$107:$G$116,-1),4),"CHECK THIS!!"))))</f>
        <v>5-Pattern</v>
      </c>
      <c r="K18" s="35">
        <v>0</v>
      </c>
      <c r="L18" s="13">
        <f>E18*K18</f>
        <v>0</v>
      </c>
      <c r="M18" s="12">
        <f>IF(K18&gt;H18,L18-I18,0)</f>
        <v>0</v>
      </c>
      <c r="N18" s="13">
        <f>IF($F18=$F$82,VLOOKUP($J18,$F$83:$I$101,4,),IF($F18=$L$82,VLOOKUP($J18,$L$83:$O$97,4,),IF($F18=$F$106,VLOOKUP($J18,$F$107:$I$116,4,),MROUND($M18*INDEX($F$120:$I$128,MATCH($F18,$F$120:$F$128,0),3),INDEX($F$120:$I$128,MATCH($F18,$F$120:$F$128,0),4)))))</f>
        <v>0</v>
      </c>
      <c r="O18" s="13">
        <f>IF(OR(,$F18=$F$123,$F18=$F$124,$F18=$F$125,$F18=$F$126,$F18=$F$127,$F18=$F$128),$N18,IF(OR($F18=$F$82,$F18=$L$82,$F18=$F$106),N18*E18,"CHECK THIS!!"))</f>
        <v>0</v>
      </c>
      <c r="P18"/>
      <c r="Q18"/>
      <c r="R18"/>
      <c r="S18"/>
      <c r="T18"/>
      <c r="U18"/>
      <c r="V18" s="1"/>
      <c r="W18" s="1" t="s">
        <v>121</v>
      </c>
      <c r="X18" s="1" t="s">
        <v>122</v>
      </c>
    </row>
    <row r="19" spans="1:24" hidden="1" outlineLevel="2">
      <c r="A19" s="31" t="s">
        <v>128</v>
      </c>
      <c r="B19" s="31">
        <f>10*12</f>
        <v>120</v>
      </c>
      <c r="C19" s="31">
        <v>12</v>
      </c>
      <c r="D19" s="31">
        <v>1.2</v>
      </c>
      <c r="E19" s="3">
        <v>0</v>
      </c>
      <c r="F19" s="27" t="s">
        <v>162</v>
      </c>
      <c r="G19" s="28" t="s">
        <v>156</v>
      </c>
      <c r="H19" s="12">
        <f>IF($F19=$F$82,INDEX($G$83:$J$101,MATCH($G19,$J$83:$J$101,-1),1),IF($F19=$L$82,INDEX($M$83:$T$97,MATCH($G19,$T$83:$T$97,-1),1),IF($F19=$F$106,INDEX($G$107:$J$116,MATCH($G19,$J$107:$J$116,-1),1),VLOOKUP($F19,$F$120:$I$128,2,FALSE))))</f>
        <v>5.55</v>
      </c>
      <c r="I19" s="13">
        <f>H19*E19</f>
        <v>0</v>
      </c>
      <c r="J19" s="3" t="str">
        <f>IF(OR($F19=$F$123,$F19=$F$124,$F19=$F$125,$F19=$F$126,$F19=$F$127,$F19=$F$128),$F19,IF($F19=$F$82,INDEX($G$83:$J$101,MATCH(K19,$G$83:$G$101,-1),4),IF($F19=$L$82,INDEX($M$83:$T$97,MATCH(K19,$M$83:$M$97,-1),4),IF($F19=$F$106,INDEX($G$107:$J$116,MATCH(K19,$G$107:$G$116,-1),4),"CHECK THIS!!"))))</f>
        <v>T-01</v>
      </c>
      <c r="K19" s="35">
        <v>0</v>
      </c>
      <c r="L19" s="13">
        <f>E19*K19</f>
        <v>0</v>
      </c>
      <c r="M19" s="12">
        <f>IF(K19&gt;H19,L19-I19,0)</f>
        <v>0</v>
      </c>
      <c r="N19" s="13">
        <f>IF($F19=$F$82,VLOOKUP($J19,$F$83:$I$101,4,),IF($F19=$L$82,VLOOKUP($J19,$L$83:$O$97,4,),IF($F19=$F$106,VLOOKUP($J19,$F$107:$I$116,4,),MROUND($M19*INDEX($F$120:$I$128,MATCH($F19,$F$120:$F$128,0),3),INDEX($F$120:$I$128,MATCH($F19,$F$120:$F$128,0),4)))))</f>
        <v>0</v>
      </c>
      <c r="O19" s="13">
        <f>IF(OR(,$F19=$F$123,$F19=$F$124,$F19=$F$125,$F19=$F$126,$F19=$F$127,$F19=$F$128),$N19,IF(OR($F19=$F$82,$F19=$L$82,$F19=$F$106),N19*E19,"CHECK THIS!!"))</f>
        <v>0</v>
      </c>
      <c r="P19"/>
      <c r="Q19"/>
      <c r="R19"/>
      <c r="S19"/>
      <c r="T19"/>
      <c r="U19"/>
      <c r="V19" s="1"/>
      <c r="W19" s="1" t="s">
        <v>130</v>
      </c>
      <c r="X19" s="1" t="s">
        <v>131</v>
      </c>
    </row>
    <row r="20" spans="1:24" hidden="1" outlineLevel="1">
      <c r="A20" s="31" t="s">
        <v>193</v>
      </c>
      <c r="B20" s="31">
        <v>0</v>
      </c>
      <c r="C20" s="31">
        <v>6</v>
      </c>
      <c r="D20" s="31">
        <v>1.2</v>
      </c>
      <c r="E20" s="3">
        <v>52</v>
      </c>
      <c r="F20" s="27" t="s">
        <v>164</v>
      </c>
      <c r="G20" s="28" t="s">
        <v>102</v>
      </c>
      <c r="H20" s="12">
        <f>IF($F20=$F$82,INDEX($G$83:$J$101,MATCH($G20,$J$83:$J$101,-1),1),IF($F20=$L$82,INDEX($M$83:$T$97,MATCH($G20,$T$83:$T$97,-1),1),IF($F20=$F$106,INDEX($G$107:$J$116,MATCH($G20,$J$107:$J$116,-1),1),VLOOKUP($F20,$F$120:$I$128,2,FALSE))))</f>
        <v>2.75</v>
      </c>
      <c r="I20" s="13">
        <f>H20*E20</f>
        <v>143</v>
      </c>
      <c r="J20" s="3" t="str">
        <f>IF(OR($F20=$F$123,$F20=$F$124,$F20=$F$125,$F20=$F$126,$F20=$F$127,$F20=$F$128),$F20,IF($F20=$F$82,INDEX($G$83:$J$101,MATCH(K20,$G$83:$G$101,-1),4),IF($F20=$L$82,INDEX($M$83:$T$97,MATCH(K20,$M$83:$M$97,-1),4),IF($F20=$F$106,INDEX($G$107:$J$116,MATCH(K20,$G$107:$G$116,-1),4),"CHECK THIS!!"))))</f>
        <v>BN-05</v>
      </c>
      <c r="K20" s="35">
        <v>4.2699999999999996</v>
      </c>
      <c r="L20" s="13">
        <f>E20*K20</f>
        <v>222.03999999999996</v>
      </c>
      <c r="M20" s="12">
        <f>IF(K20&gt;H20,L20-I20,0)</f>
        <v>79.039999999999964</v>
      </c>
      <c r="N20" s="13">
        <f>IF($F20=$F$82,VLOOKUP($J20,$F$83:$I$101,4,),IF($F20=$L$82,VLOOKUP($J20,$L$83:$O$97,4,),IF($F20=$F$106,VLOOKUP($J20,$F$107:$I$116,4,),MROUND($M20*INDEX($F$120:$I$128,MATCH($F20,$F$120:$F$128,0),3),INDEX($F$120:$I$128,MATCH($F20,$F$120:$F$128,0),4)))))</f>
        <v>3</v>
      </c>
      <c r="O20" s="13">
        <f>IF(OR(,$F20=$F$123,$F20=$F$124,$F20=$F$125,$F20=$F$126,$F20=$F$127,$F20=$F$128),$N20,IF(OR($F20=$F$82,$F20=$L$82,$F20=$F$106),N20*E20,"CHECK THIS!!"))</f>
        <v>156</v>
      </c>
      <c r="P20"/>
      <c r="Q20"/>
      <c r="R20"/>
      <c r="S20"/>
      <c r="T20"/>
      <c r="U20"/>
      <c r="V20" s="1"/>
      <c r="W20" s="1" t="s">
        <v>121</v>
      </c>
      <c r="X20" s="1" t="s">
        <v>131</v>
      </c>
    </row>
    <row r="21" spans="1:24" collapsed="1">
      <c r="A21" s="31"/>
      <c r="B21" s="31"/>
      <c r="C21" s="31"/>
      <c r="D21" s="31"/>
      <c r="E21" s="1"/>
      <c r="F21" s="27"/>
      <c r="G21" s="28"/>
      <c r="H21" s="12"/>
      <c r="I21" s="13"/>
      <c r="J21" s="3"/>
      <c r="K21" s="35"/>
      <c r="L21" s="13"/>
      <c r="M21" s="12"/>
      <c r="N21" s="13"/>
      <c r="O21" s="13"/>
      <c r="P21" s="13"/>
      <c r="Q21" s="13"/>
      <c r="R21" s="13"/>
      <c r="S21" s="13"/>
      <c r="T21" s="1"/>
      <c r="U21" s="1"/>
      <c r="V21" s="1"/>
      <c r="W21" s="1"/>
      <c r="X21" s="1"/>
    </row>
    <row r="22" spans="1:24">
      <c r="A22" s="31" t="s">
        <v>174</v>
      </c>
      <c r="B22" s="31">
        <f>14*12</f>
        <v>168</v>
      </c>
      <c r="C22" s="31">
        <f>9*12</f>
        <v>108</v>
      </c>
      <c r="D22" s="31">
        <v>1.2</v>
      </c>
      <c r="E22" s="3">
        <v>114</v>
      </c>
      <c r="F22" s="27" t="s">
        <v>162</v>
      </c>
      <c r="G22" s="28" t="s">
        <v>156</v>
      </c>
      <c r="H22" s="12">
        <f>IF($F22=$F$82,INDEX($G$83:$J$101,MATCH($G22,$J$83:$J$101,-1),1),IF($F22=$L$82,INDEX($M$83:$T$97,MATCH($G22,$T$83:$T$97,-1),1),IF($F22=$F$106,INDEX($G$107:$J$116,MATCH($G22,$J$107:$J$116,-1),1),VLOOKUP($F22,$F$120:$I$128,2,FALSE))))</f>
        <v>5.55</v>
      </c>
      <c r="I22" s="13">
        <f>H22*E22</f>
        <v>632.69999999999993</v>
      </c>
      <c r="J22" s="3" t="str">
        <f>IF(OR($F22=$F$123,$F22=$F$124,$F22=$F$125,$F22=$F$126,$F22=$F$127,$F22=$F$128),$F22,IF($F22=$F$82,INDEX($G$83:$J$101,MATCH(K22,$G$83:$G$101,-1),4),IF($F22=$L$82,INDEX($M$83:$T$97,MATCH(K22,$M$83:$M$97,-1),4),IF($F22=$F$106,INDEX($G$107:$J$116,MATCH(K22,$G$107:$G$116,-1),4),"CHECK THIS!!"))))</f>
        <v>T-04</v>
      </c>
      <c r="K22" s="35">
        <v>7.6</v>
      </c>
      <c r="L22" s="13">
        <f>E22*K22</f>
        <v>866.4</v>
      </c>
      <c r="M22" s="12">
        <f>IF(K22&gt;H22,L22-I22,0)</f>
        <v>233.70000000000005</v>
      </c>
      <c r="N22" s="13">
        <f>IF($F22=$F$82,VLOOKUP($J22,$F$83:$I$101,4,),IF($F22=$L$82,VLOOKUP($J22,$L$83:$O$97,4,),IF($F22=$F$106,VLOOKUP($J22,$F$107:$I$116,4,),MROUND($M22*INDEX($F$120:$I$128,MATCH($F22,$F$120:$F$128,0),3),INDEX($F$120:$I$128,MATCH($F22,$F$120:$F$128,0),4)))))</f>
        <v>3</v>
      </c>
      <c r="O22" s="13">
        <f>IF(OR(,$F22=$F$123,$F22=$F$124,$F22=$F$125,$F22=$F$126,$F22=$F$127,$F22=$F$128),$N22,IF(OR($F22=$F$82,$F22=$L$82,$F22=$F$106),N22*E22,"CHECK THIS!!"))</f>
        <v>342</v>
      </c>
      <c r="P22"/>
      <c r="Q22"/>
      <c r="R22"/>
      <c r="S22"/>
      <c r="T22"/>
      <c r="U22"/>
      <c r="V22" s="1"/>
      <c r="W22" s="1" t="s">
        <v>121</v>
      </c>
      <c r="X22" s="1" t="s">
        <v>122</v>
      </c>
    </row>
    <row r="23" spans="1:24" hidden="1" outlineLevel="2">
      <c r="A23" s="31" t="s">
        <v>134</v>
      </c>
      <c r="B23" s="31">
        <f>14*12</f>
        <v>168</v>
      </c>
      <c r="C23" s="31">
        <f>9*12</f>
        <v>108</v>
      </c>
      <c r="D23" s="31">
        <v>1.2</v>
      </c>
      <c r="E23" s="3">
        <v>0</v>
      </c>
      <c r="F23" s="27" t="s">
        <v>166</v>
      </c>
      <c r="G23" s="28" t="s">
        <v>156</v>
      </c>
      <c r="H23" s="12">
        <f>IF($F23=$F$82,INDEX($G$83:$J$101,MATCH($G23,$J$83:$J$101,-1),1),IF($F23=$L$82,INDEX($M$83:$T$97,MATCH($G23,$T$83:$T$97,-1),1),IF($F23=$F$106,INDEX($G$107:$J$116,MATCH($G23,$J$107:$J$116,-1),1),VLOOKUP($F23,$F$120:$I$128,2,FALSE))))</f>
        <v>0</v>
      </c>
      <c r="I23" s="13">
        <f>H23*E23</f>
        <v>0</v>
      </c>
      <c r="J23" s="3" t="str">
        <f>IF(OR($F23=$F$123,$F23=$F$124,$F23=$F$125,$F23=$F$126,$F23=$F$127,$F23=$F$128),$F23,IF($F23=$F$82,INDEX($G$83:$J$101,MATCH(K23,$G$83:$G$101,-1),4),IF($F23=$L$82,INDEX($M$83:$T$97,MATCH(K23,$M$83:$M$97,-1),4),IF($F23=$F$106,INDEX($G$107:$J$116,MATCH(K23,$G$107:$G$116,-1),4),"CHECK THIS!!"))))</f>
        <v>5-Pattern</v>
      </c>
      <c r="K23" s="35">
        <v>0</v>
      </c>
      <c r="L23" s="13">
        <f>E23*K23</f>
        <v>0</v>
      </c>
      <c r="M23" s="12">
        <f>IF(K23&gt;H23,L23-I23,0)</f>
        <v>0</v>
      </c>
      <c r="N23" s="13">
        <f>IF($F23=$F$82,VLOOKUP($J23,$F$83:$I$101,4,),IF($F23=$L$82,VLOOKUP($J23,$L$83:$O$97,4,),IF($F23=$F$106,VLOOKUP($J23,$F$107:$I$116,4,),MROUND($M23*INDEX($F$120:$I$128,MATCH($F23,$F$120:$F$128,0),3),INDEX($F$120:$I$128,MATCH($F23,$F$120:$F$128,0),4)))))</f>
        <v>0</v>
      </c>
      <c r="O23" s="13">
        <f>IF(OR(,$F23=$F$123,$F23=$F$124,$F23=$F$125,$F23=$F$126,$F23=$F$127,$F23=$F$128),$N23,IF(OR($F23=$F$82,$F23=$L$82,$F23=$F$106),N23*E23,"CHECK THIS!!"))</f>
        <v>0</v>
      </c>
      <c r="P23"/>
      <c r="Q23"/>
      <c r="R23"/>
      <c r="S23"/>
      <c r="T23"/>
      <c r="U23"/>
      <c r="V23" s="1"/>
      <c r="W23" s="1" t="s">
        <v>121</v>
      </c>
      <c r="X23" s="1" t="s">
        <v>122</v>
      </c>
    </row>
    <row r="24" spans="1:24" hidden="1" outlineLevel="1">
      <c r="A24" s="31" t="s">
        <v>81</v>
      </c>
      <c r="B24" s="31">
        <f>16*12</f>
        <v>192</v>
      </c>
      <c r="C24" s="31">
        <v>12</v>
      </c>
      <c r="D24" s="31">
        <v>1.2</v>
      </c>
      <c r="E24" s="3">
        <v>0</v>
      </c>
      <c r="F24" s="27" t="s">
        <v>162</v>
      </c>
      <c r="G24" s="28" t="s">
        <v>156</v>
      </c>
      <c r="H24" s="12">
        <f>IF($F24=$F$82,INDEX($G$83:$J$101,MATCH($G24,$J$83:$J$101,-1),1),IF($F24=$L$82,INDEX($M$83:$T$97,MATCH($G24,$T$83:$T$97,-1),1),IF($F24=$F$106,INDEX($G$107:$J$116,MATCH($G24,$J$107:$J$116,-1),1),VLOOKUP($F24,$F$120:$I$128,2,FALSE))))</f>
        <v>5.55</v>
      </c>
      <c r="I24" s="13">
        <f>H24*E24</f>
        <v>0</v>
      </c>
      <c r="J24" s="3" t="str">
        <f>IF(OR($F24=$F$123,$F24=$F$124,$F24=$F$125,$F24=$F$126,$F24=$F$127,$F24=$F$128),$F24,IF($F24=$F$82,INDEX($G$83:$J$101,MATCH(K24,$G$83:$G$101,-1),4),IF($F24=$L$82,INDEX($M$83:$T$97,MATCH(K24,$M$83:$M$97,-1),4),IF($F24=$F$106,INDEX($G$107:$J$116,MATCH(K24,$G$107:$G$116,-1),4),"CHECK THIS!!"))))</f>
        <v>T-01</v>
      </c>
      <c r="K24" s="35">
        <v>0</v>
      </c>
      <c r="L24" s="13">
        <f>E24*K24</f>
        <v>0</v>
      </c>
      <c r="M24" s="12">
        <f>IF(K24&gt;H24,L24-I24,0)</f>
        <v>0</v>
      </c>
      <c r="N24" s="13">
        <f>IF($F24=$F$82,VLOOKUP($J24,$F$83:$I$101,4,),IF($F24=$L$82,VLOOKUP($J24,$L$83:$O$97,4,),IF($F24=$F$106,VLOOKUP($J24,$F$107:$I$116,4,),MROUND($M24*INDEX($F$120:$I$128,MATCH($F24,$F$120:$F$128,0),3),INDEX($F$120:$I$128,MATCH($F24,$F$120:$F$128,0),4)))))</f>
        <v>0</v>
      </c>
      <c r="O24" s="13">
        <f>IF(OR(,$F24=$F$123,$F24=$F$124,$F24=$F$125,$F24=$F$126,$F24=$F$127,$F24=$F$128),$N24,IF(OR($F24=$F$82,$F24=$L$82,$F24=$F$106),N24*E24,"CHECK THIS!!"))</f>
        <v>0</v>
      </c>
      <c r="P24"/>
      <c r="Q24"/>
      <c r="R24"/>
      <c r="S24"/>
      <c r="T24"/>
      <c r="U24"/>
      <c r="V24" s="1"/>
      <c r="W24" s="1" t="s">
        <v>130</v>
      </c>
      <c r="X24" s="1" t="s">
        <v>131</v>
      </c>
    </row>
    <row r="25" spans="1:24" collapsed="1">
      <c r="A25" s="31" t="s">
        <v>132</v>
      </c>
      <c r="B25" s="31"/>
      <c r="C25" s="31"/>
      <c r="D25" s="31"/>
      <c r="E25" s="1">
        <v>37</v>
      </c>
      <c r="F25" s="27" t="s">
        <v>162</v>
      </c>
      <c r="G25" s="28" t="s">
        <v>156</v>
      </c>
      <c r="H25" s="12">
        <f>IF($F25=$F$82,INDEX($G$83:$J$101,MATCH($G25,$J$83:$J$101,-1),1),IF($F25=$L$82,INDEX($M$83:$T$97,MATCH($G25,$T$83:$T$97,-1),1),IF($F25=$F$106,INDEX($G$107:$J$116,MATCH($G25,$J$107:$J$116,-1),1),VLOOKUP($F25,$F$120:$I$128,2,FALSE))))</f>
        <v>5.55</v>
      </c>
      <c r="I25" s="13">
        <f>H25*E25</f>
        <v>205.35</v>
      </c>
      <c r="J25" s="3" t="str">
        <f>IF(OR($F25=$F$123,$F25=$F$124,$F25=$F$125,$F25=$F$126,$F25=$F$127,$F25=$F$128),$F25,IF($F25=$F$82,INDEX($G$83:$J$101,MATCH(K25,$G$83:$G$101,-1),4),IF($F25=$L$82,INDEX($M$83:$T$97,MATCH(K25,$M$83:$M$97,-1),4),IF($F25=$F$106,INDEX($G$107:$J$116,MATCH(K25,$G$107:$G$116,-1),4),"CHECK THIS!!"))))</f>
        <v>T-11</v>
      </c>
      <c r="K25" s="35">
        <v>15.97</v>
      </c>
      <c r="L25" s="13">
        <f>E25*K25</f>
        <v>590.89</v>
      </c>
      <c r="M25" s="12">
        <f>IF(K25&gt;H25,L25-I25,0)</f>
        <v>385.53999999999996</v>
      </c>
      <c r="N25" s="13">
        <f>IF($F25=$F$82,VLOOKUP($J25,$F$83:$I$101,4,),IF($F25=$L$82,VLOOKUP($J25,$L$83:$O$97,4,),IF($F25=$F$106,VLOOKUP($J25,$F$107:$I$116,4,),MROUND($M25*INDEX($F$120:$I$128,MATCH($F25,$F$120:$F$128,0),3),INDEX($F$120:$I$128,MATCH($F25,$F$120:$F$128,0),4)))))</f>
        <v>18.5</v>
      </c>
      <c r="O25" s="13">
        <f>IF(OR(,$F25=$F$123,$F25=$F$124,$F25=$F$125,$F25=$F$126,$F25=$F$127,$F25=$F$128),$N25,IF(OR($F25=$F$82,$F25=$L$82,$F25=$F$106),N25*E25,"CHECK THIS!!"))</f>
        <v>684.5</v>
      </c>
      <c r="P25"/>
      <c r="Q25"/>
      <c r="R25"/>
      <c r="S25"/>
      <c r="T25"/>
      <c r="U25"/>
      <c r="V25" s="1"/>
      <c r="W25" s="1" t="s">
        <v>131</v>
      </c>
      <c r="X25" s="1" t="s">
        <v>131</v>
      </c>
    </row>
    <row r="26" spans="1:24" hidden="1" outlineLevel="1">
      <c r="A26" s="1" t="s">
        <v>83</v>
      </c>
      <c r="B26" s="1"/>
      <c r="C26" s="1"/>
      <c r="D26" s="1"/>
      <c r="E26" s="1">
        <v>1</v>
      </c>
      <c r="F26" s="27" t="s">
        <v>169</v>
      </c>
      <c r="G26" s="28" t="s">
        <v>156</v>
      </c>
      <c r="H26" s="12">
        <f>IF($F26=$F$82,INDEX($G$83:$J$101,MATCH($G26,$J$83:$J$101,-1),1),IF($F26=$L$82,INDEX($M$83:$T$97,MATCH($G26,$T$83:$T$97,-1),1),IF($F26=$F$106,INDEX($G$107:$J$116,MATCH($G26,$J$107:$J$116,-1),1),VLOOKUP($F26,$F$120:$I$128,2,FALSE))))</f>
        <v>0</v>
      </c>
      <c r="I26" s="13">
        <f>H26*E26</f>
        <v>0</v>
      </c>
      <c r="J26" s="3" t="str">
        <f>IF(OR($F26=$F$123,$F26=$F$124,$F26=$F$125,$F26=$F$126,$F26=$F$127,$F26=$F$128),$F26,IF($F26=$F$82,INDEX($G$83:$J$101,MATCH(K26,$G$83:$G$101,-1),4),IF($F26=$L$82,INDEX($M$83:$T$97,MATCH(K26,$M$83:$M$97,-1),4),IF($F26=$F$106,INDEX($G$107:$J$116,MATCH(K26,$G$107:$G$116,-1),4),"CHECK THIS!!"))))</f>
        <v>8-Included</v>
      </c>
      <c r="K26" s="35">
        <v>300</v>
      </c>
      <c r="L26" s="13">
        <f>E26*K26</f>
        <v>300</v>
      </c>
      <c r="M26" s="12">
        <f>IF(K26&gt;H26,L26-I26,0)</f>
        <v>300</v>
      </c>
      <c r="N26" s="13">
        <f>IF($F26=$F$82,VLOOKUP($J26,$F$83:$I$101,4,),IF($F26=$L$82,VLOOKUP($J26,$L$83:$O$97,4,),IF($F26=$F$106,VLOOKUP($J26,$F$107:$I$116,4,),MROUND($M26*INDEX($F$120:$I$128,MATCH($F26,$F$120:$F$128,0),3),INDEX($F$120:$I$128,MATCH($F26,$F$120:$F$128,0),4)))))</f>
        <v>0</v>
      </c>
      <c r="O26" s="13">
        <f>IF(OR(,$F26=$F$123,$F26=$F$124,$F26=$F$125,$F26=$F$126,$F26=$F$127,$F26=$F$128),$N26,IF(OR($F26=$F$82,$F26=$L$82,$F26=$F$106),N26*E26,"CHECK THIS!!"))</f>
        <v>0</v>
      </c>
      <c r="P26"/>
      <c r="Q26"/>
      <c r="R26"/>
      <c r="S26"/>
      <c r="T26"/>
      <c r="U26"/>
      <c r="V26" s="58"/>
      <c r="W26" s="58"/>
      <c r="X26" s="58"/>
    </row>
    <row r="27" spans="1:24" s="6" customFormat="1" collapsed="1">
      <c r="A27" s="7" t="s">
        <v>9</v>
      </c>
      <c r="B27" s="7"/>
      <c r="C27" s="7"/>
      <c r="D27" s="7"/>
      <c r="E27" s="7"/>
      <c r="F27" s="7"/>
      <c r="G27" s="7"/>
      <c r="H27" s="14"/>
      <c r="I27" s="15">
        <f>SUM(I15:I26)</f>
        <v>1857.9499999999998</v>
      </c>
      <c r="J27" s="16"/>
      <c r="K27" s="15"/>
      <c r="L27" s="15">
        <f>SUM(L15:L26)</f>
        <v>3180.1299999999997</v>
      </c>
      <c r="M27" s="15">
        <f>SUM(M15:M26)</f>
        <v>1322.1799999999998</v>
      </c>
      <c r="N27" s="15"/>
      <c r="O27" s="15">
        <f>SUM(O15:O26)</f>
        <v>1656.5</v>
      </c>
      <c r="P27" s="15"/>
      <c r="Q27" s="15"/>
      <c r="R27" s="15"/>
      <c r="S27" s="15"/>
      <c r="T27" s="7"/>
      <c r="U27" s="7"/>
      <c r="V27" s="7"/>
      <c r="W27" s="7"/>
      <c r="X27" s="7"/>
    </row>
    <row r="28" spans="1:24">
      <c r="A28" s="1"/>
      <c r="B28" s="1"/>
      <c r="C28" s="1"/>
      <c r="D28" s="1"/>
      <c r="E28" s="1"/>
      <c r="F28" s="1"/>
      <c r="G28" s="1"/>
      <c r="H28" s="1"/>
      <c r="I28" s="1"/>
      <c r="J28" s="1"/>
      <c r="K28" s="11"/>
      <c r="L28" s="11"/>
      <c r="M28" s="1"/>
      <c r="N28" s="11"/>
      <c r="O28" s="11"/>
      <c r="P28" s="11"/>
      <c r="Q28" s="11"/>
      <c r="R28" s="11"/>
      <c r="S28" s="11"/>
      <c r="T28" s="1"/>
      <c r="U28" s="1"/>
      <c r="V28" s="1"/>
      <c r="W28" s="1"/>
      <c r="X28" s="1"/>
    </row>
    <row r="29" spans="1:24" s="25" customFormat="1" ht="28">
      <c r="A29" s="2" t="s">
        <v>182</v>
      </c>
      <c r="B29" s="2" t="str">
        <f>B$4</f>
        <v>Length (inches)</v>
      </c>
      <c r="C29" s="2" t="str">
        <f>C$4</f>
        <v>Height (inches)</v>
      </c>
      <c r="D29" s="2" t="str">
        <f>D$4</f>
        <v>Waste Factor</v>
      </c>
      <c r="E29" s="2" t="str">
        <f>E$4</f>
        <v>SF/Count</v>
      </c>
      <c r="F29" s="2" t="str">
        <f t="shared" ref="F29:X29" si="1">F$4</f>
        <v>Tile Type</v>
      </c>
      <c r="G29" s="2" t="str">
        <f t="shared" si="1"/>
        <v>Base Tile_x000D_Level</v>
      </c>
      <c r="H29" s="2" t="str">
        <f t="shared" si="1"/>
        <v>Base Tile_x000D_COST/SF</v>
      </c>
      <c r="I29" s="2" t="str">
        <f t="shared" si="1"/>
        <v>Base Tile_x000D_Total COST</v>
      </c>
      <c r="J29" s="2" t="str">
        <f t="shared" si="1"/>
        <v>Selected Tile_x000D_Level</v>
      </c>
      <c r="K29" s="2" t="str">
        <f t="shared" si="1"/>
        <v>Selected Tile_x000D_COST/SF</v>
      </c>
      <c r="L29" s="2" t="str">
        <f t="shared" si="1"/>
        <v>Selected Tile_x000D_Total COST</v>
      </c>
      <c r="M29" s="2" t="str">
        <f t="shared" si="1"/>
        <v>COST DIFF_x000D_(total compared)</v>
      </c>
      <c r="N29" s="2" t="str">
        <f t="shared" si="1"/>
        <v>Selected Tile_x000D_Price/SF</v>
      </c>
      <c r="O29" s="2" t="str">
        <f t="shared" si="1"/>
        <v>Selected Tile_x000D_Price Total</v>
      </c>
      <c r="P29" s="2" t="str">
        <f t="shared" si="1"/>
        <v>Group</v>
      </c>
      <c r="Q29" s="2" t="str">
        <f t="shared" si="1"/>
        <v>Manufacturer</v>
      </c>
      <c r="R29" s="2" t="str">
        <f t="shared" si="1"/>
        <v>Style</v>
      </c>
      <c r="S29" s="2" t="str">
        <f t="shared" si="1"/>
        <v>Type</v>
      </c>
      <c r="T29" s="2" t="str">
        <f t="shared" si="1"/>
        <v>Dimension</v>
      </c>
      <c r="U29" s="2" t="str">
        <f t="shared" si="1"/>
        <v>Color</v>
      </c>
      <c r="V29" s="2" t="str">
        <f t="shared" si="1"/>
        <v>Grout</v>
      </c>
      <c r="W29" s="2" t="str">
        <f t="shared" si="1"/>
        <v>Pattern</v>
      </c>
      <c r="X29" s="2" t="str">
        <f t="shared" si="1"/>
        <v>Direction</v>
      </c>
    </row>
    <row r="30" spans="1:24">
      <c r="A30" s="31" t="s">
        <v>177</v>
      </c>
      <c r="B30" s="31"/>
      <c r="C30" s="31"/>
      <c r="D30" s="31"/>
      <c r="E30" s="1">
        <v>26</v>
      </c>
      <c r="F30" s="27" t="s">
        <v>162</v>
      </c>
      <c r="G30" s="28" t="s">
        <v>156</v>
      </c>
      <c r="H30" s="12">
        <f>IF($F30=$F$82,INDEX($G$83:$J$101,MATCH($G30,$J$83:$J$101,-1),1),IF($F30=$L$82,INDEX($M$83:$T$97,MATCH($G30,$T$83:$T$97,-1),1),IF($F30=$F$106,INDEX($G$107:$J$116,MATCH($G30,$J$107:$J$116,-1),1),VLOOKUP($F30,$F$120:$I$128,2,FALSE))))</f>
        <v>5.55</v>
      </c>
      <c r="I30" s="13">
        <f>H30*E30</f>
        <v>144.29999999999998</v>
      </c>
      <c r="J30" s="3" t="str">
        <f>IF(OR($F30=$F$123,$F30=$F$124,$F30=$F$125,$F30=$F$126,$F30=$F$127,$F30=$F$128),$F30,IF($F30=$F$82,INDEX($G$83:$J$101,MATCH(K30,$G$83:$G$101,-1),4),IF($F30=$L$82,INDEX($M$83:$T$97,MATCH(K30,$M$83:$M$97,-1),4),IF($F30=$F$106,INDEX($G$107:$J$116,MATCH(K30,$G$107:$G$116,-1),4),"CHECK THIS!!"))))</f>
        <v>T-04</v>
      </c>
      <c r="K30" s="35">
        <v>7.6</v>
      </c>
      <c r="L30" s="13">
        <f>E30*K30</f>
        <v>197.6</v>
      </c>
      <c r="M30" s="12">
        <f>IF(K30&gt;H30,L30-I30,0)</f>
        <v>53.300000000000011</v>
      </c>
      <c r="N30" s="13">
        <f>IF($F30=$F$82,VLOOKUP($J30,$F$83:$I$101,4,),IF($F30=$L$82,VLOOKUP($J30,$L$83:$O$97,4,),IF($F30=$F$106,VLOOKUP($J30,$F$107:$I$116,4,),MROUND($M30*INDEX($F$120:$I$128,MATCH($F30,$F$120:$F$128,0),3),INDEX($F$120:$I$128,MATCH($F30,$F$120:$F$128,0),4)))))</f>
        <v>3</v>
      </c>
      <c r="O30" s="13">
        <f>IF(OR(,$F30=$F$123,$F30=$F$124,$F30=$F$125,$F30=$F$126,$F30=$F$127,$F30=$F$128),$N30,IF(OR($F30=$F$82,$F30=$L$82,$F30=$F$106),N30*E30,"CHECK THIS!!"))</f>
        <v>78</v>
      </c>
      <c r="P30"/>
      <c r="Q30"/>
      <c r="R30"/>
      <c r="S30"/>
      <c r="T30"/>
      <c r="U30"/>
      <c r="V30" s="1"/>
      <c r="W30" s="1" t="s">
        <v>121</v>
      </c>
      <c r="X30" s="1" t="s">
        <v>126</v>
      </c>
    </row>
    <row r="31" spans="1:24">
      <c r="A31" s="31" t="s">
        <v>178</v>
      </c>
      <c r="B31" s="31"/>
      <c r="C31" s="31"/>
      <c r="D31" s="31"/>
      <c r="E31" s="1">
        <v>66</v>
      </c>
      <c r="F31" s="27" t="s">
        <v>162</v>
      </c>
      <c r="G31" s="28" t="s">
        <v>156</v>
      </c>
      <c r="H31" s="12">
        <f>IF($F31=$F$82,INDEX($G$83:$J$101,MATCH($G31,$J$83:$J$101,-1),1),IF($F31=$L$82,INDEX($M$83:$T$97,MATCH($G31,$T$83:$T$97,-1),1),IF($F31=$F$106,INDEX($G$107:$J$116,MATCH($G31,$J$107:$J$116,-1),1),VLOOKUP($F31,$F$120:$I$128,2,FALSE))))</f>
        <v>5.55</v>
      </c>
      <c r="I31" s="13">
        <f>H31*E31</f>
        <v>366.3</v>
      </c>
      <c r="J31" s="3" t="str">
        <f>IF(OR($F31=$F$123,$F31=$F$124,$F31=$F$125,$F31=$F$126,$F31=$F$127,$F31=$F$128),$F31,IF($F31=$F$82,INDEX($G$83:$J$101,MATCH(K31,$G$83:$G$101,-1),4),IF($F31=$L$82,INDEX($M$83:$T$97,MATCH(K31,$M$83:$M$97,-1),4),IF($F31=$F$106,INDEX($G$107:$J$116,MATCH(K31,$G$107:$G$116,-1),4),"CHECK THIS!!"))))</f>
        <v>T-04</v>
      </c>
      <c r="K31" s="35">
        <v>7.6</v>
      </c>
      <c r="L31" s="13">
        <f>E31*K31</f>
        <v>501.59999999999997</v>
      </c>
      <c r="M31" s="12">
        <f>IF(K31&gt;H31,L31-I31,0)</f>
        <v>135.29999999999995</v>
      </c>
      <c r="N31" s="13">
        <f>IF($F31=$F$82,VLOOKUP($J31,$F$83:$I$101,4,),IF($F31=$L$82,VLOOKUP($J31,$L$83:$O$97,4,),IF($F31=$F$106,VLOOKUP($J31,$F$107:$I$116,4,),MROUND($M31*INDEX($F$120:$I$128,MATCH($F31,$F$120:$F$128,0),3),INDEX($F$120:$I$128,MATCH($F31,$F$120:$F$128,0),4)))))</f>
        <v>3</v>
      </c>
      <c r="O31" s="13">
        <f>IF(OR(,$F31=$F$123,$F31=$F$124,$F31=$F$125,$F31=$F$126,$F31=$F$127,$F31=$F$128),$N31,IF(OR($F31=$F$82,$F31=$L$82,$F31=$F$106),N31*E31,"CHECK THIS!!"))</f>
        <v>198</v>
      </c>
      <c r="P31"/>
      <c r="Q31"/>
      <c r="R31"/>
      <c r="S31"/>
      <c r="T31"/>
      <c r="U31"/>
      <c r="V31" s="1"/>
      <c r="W31" s="1" t="s">
        <v>121</v>
      </c>
      <c r="X31" s="1" t="s">
        <v>122</v>
      </c>
    </row>
    <row r="32" spans="1:24" hidden="1" outlineLevel="1">
      <c r="A32" s="31" t="s">
        <v>179</v>
      </c>
      <c r="B32" s="31"/>
      <c r="C32" s="31"/>
      <c r="D32" s="31"/>
      <c r="E32" s="1">
        <v>0</v>
      </c>
      <c r="F32" s="27" t="s">
        <v>162</v>
      </c>
      <c r="G32" s="28" t="s">
        <v>156</v>
      </c>
      <c r="H32" s="12">
        <f>IF($F32=$F$82,INDEX($G$83:$J$101,MATCH($G32,$J$83:$J$101,-1),1),IF($F32=$L$82,INDEX($M$83:$T$97,MATCH($G32,$T$83:$T$97,-1),1),IF($F32=$F$106,INDEX($G$107:$J$116,MATCH($G32,$J$107:$J$116,-1),1),VLOOKUP($F32,$F$120:$I$128,2,FALSE))))</f>
        <v>5.55</v>
      </c>
      <c r="I32" s="13">
        <f>H32*E32</f>
        <v>0</v>
      </c>
      <c r="J32" s="3" t="str">
        <f>IF(OR($F32=$F$123,$F32=$F$124,$F32=$F$125,$F32=$F$126,$F32=$F$127,$F32=$F$128),$F32,IF($F32=$F$82,INDEX($G$83:$J$101,MATCH(K32,$G$83:$G$101,-1),4),IF($F32=$L$82,INDEX($M$83:$T$97,MATCH(K32,$M$83:$M$97,-1),4),IF($F32=$F$106,INDEX($G$107:$J$116,MATCH(K32,$G$107:$G$116,-1),4),"CHECK THIS!!"))))</f>
        <v>T-01</v>
      </c>
      <c r="K32" s="35">
        <v>0</v>
      </c>
      <c r="L32" s="13">
        <f>E32*K32</f>
        <v>0</v>
      </c>
      <c r="M32" s="12">
        <f>IF(K32&gt;H32,L32-I32,0)</f>
        <v>0</v>
      </c>
      <c r="N32" s="13">
        <f>IF($F32=$F$82,VLOOKUP($J32,$F$83:$I$101,4,),IF($F32=$L$82,VLOOKUP($J32,$L$83:$O$97,4,),IF($F32=$F$106,VLOOKUP($J32,$F$107:$I$116,4,),MROUND($M32*INDEX($F$120:$I$128,MATCH($F32,$F$120:$F$128,0),3),INDEX($F$120:$I$128,MATCH($F32,$F$120:$F$128,0),4)))))</f>
        <v>0</v>
      </c>
      <c r="O32" s="13">
        <f>IF(OR(,$F32=$F$123,$F32=$F$124,$F32=$F$125,$F32=$F$126,$F32=$F$127,$F32=$F$128),$N32,IF(OR($F32=$F$82,$F32=$L$82,$F32=$F$106),N32*E32,"CHECK THIS!!"))</f>
        <v>0</v>
      </c>
      <c r="P32"/>
      <c r="Q32"/>
      <c r="R32"/>
      <c r="S32"/>
      <c r="T32"/>
      <c r="U32"/>
      <c r="V32" s="1"/>
      <c r="W32" s="1" t="s">
        <v>173</v>
      </c>
      <c r="X32" s="1" t="s">
        <v>122</v>
      </c>
    </row>
    <row r="33" spans="1:24" hidden="1" outlineLevel="1">
      <c r="A33" s="31" t="s">
        <v>180</v>
      </c>
      <c r="B33" s="31"/>
      <c r="C33" s="31"/>
      <c r="D33" s="31"/>
      <c r="E33" s="1">
        <v>0</v>
      </c>
      <c r="F33" s="27" t="s">
        <v>166</v>
      </c>
      <c r="G33" s="28" t="s">
        <v>156</v>
      </c>
      <c r="H33" s="12">
        <f>IF($F33=$F$82,INDEX($G$83:$J$101,MATCH($G33,$J$83:$J$101,-1),1),IF($F33=$L$82,INDEX($M$83:$T$97,MATCH($G33,$T$83:$T$97,-1),1),IF($F33=$F$106,INDEX($G$107:$J$116,MATCH($G33,$J$107:$J$116,-1),1),VLOOKUP($F33,$F$120:$I$128,2,FALSE))))</f>
        <v>0</v>
      </c>
      <c r="I33" s="13">
        <f>H33*E33</f>
        <v>0</v>
      </c>
      <c r="J33" s="3" t="str">
        <f>IF(OR($F33=$F$123,$F33=$F$124,$F33=$F$125,$F33=$F$126,$F33=$F$127,$F33=$F$128),$F33,IF($F33=$F$82,INDEX($G$83:$J$101,MATCH(K33,$G$83:$G$101,-1),4),IF($F33=$L$82,INDEX($M$83:$T$97,MATCH(K33,$M$83:$M$97,-1),4),IF($F33=$F$106,INDEX($G$107:$J$116,MATCH(K33,$G$107:$G$116,-1),4),"CHECK THIS!!"))))</f>
        <v>5-Pattern</v>
      </c>
      <c r="K33" s="35">
        <v>0</v>
      </c>
      <c r="L33" s="13">
        <f>E33*K33</f>
        <v>0</v>
      </c>
      <c r="M33" s="12">
        <f>IF(K33&gt;H33,L33-I33,0)</f>
        <v>0</v>
      </c>
      <c r="N33" s="13">
        <f>IF($F33=$F$82,VLOOKUP($J33,$F$83:$I$101,4,),IF($F33=$L$82,VLOOKUP($J33,$L$83:$O$97,4,),IF($F33=$F$106,VLOOKUP($J33,$F$107:$I$116,4,),MROUND($M33*INDEX($F$120:$I$128,MATCH($F33,$F$120:$F$128,0),3),INDEX($F$120:$I$128,MATCH($F33,$F$120:$F$128,0),4)))))</f>
        <v>0</v>
      </c>
      <c r="O33" s="13">
        <f>IF(OR(,$F33=$F$123,$F33=$F$124,$F33=$F$125,$F33=$F$126,$F33=$F$127,$F33=$F$128),$N33,IF(OR($F33=$F$82,$F33=$L$82,$F33=$F$106),N33*E33,"CHECK THIS!!"))</f>
        <v>0</v>
      </c>
      <c r="P33"/>
      <c r="Q33"/>
      <c r="R33"/>
      <c r="S33"/>
      <c r="T33"/>
      <c r="U33"/>
      <c r="V33" s="1"/>
      <c r="W33" s="1"/>
      <c r="X33" s="1"/>
    </row>
    <row r="34" spans="1:24" collapsed="1">
      <c r="A34" s="31" t="s">
        <v>181</v>
      </c>
      <c r="B34" s="31"/>
      <c r="C34" s="31"/>
      <c r="D34" s="31"/>
      <c r="E34" s="1">
        <v>33</v>
      </c>
      <c r="F34" s="27" t="s">
        <v>164</v>
      </c>
      <c r="G34" s="28" t="s">
        <v>102</v>
      </c>
      <c r="H34" s="12">
        <f>IF($F34=$F$82,INDEX($G$83:$J$101,MATCH($G34,$J$83:$J$101,-1),1),IF($F34=$L$82,INDEX($M$83:$T$97,MATCH($G34,$T$83:$T$97,-1),1),IF($F34=$F$106,INDEX($G$107:$J$116,MATCH($G34,$J$107:$J$116,-1),1),VLOOKUP($F34,$F$120:$I$128,2,FALSE))))</f>
        <v>2.75</v>
      </c>
      <c r="I34" s="13">
        <f>H34*E34</f>
        <v>90.75</v>
      </c>
      <c r="J34" s="3" t="str">
        <f>IF(OR($F34=$F$123,$F34=$F$124,$F34=$F$125,$F34=$F$126,$F34=$F$127,$F34=$F$128),$F34,IF($F34=$F$82,INDEX($G$83:$J$101,MATCH(K34,$G$83:$G$101,-1),4),IF($F34=$L$82,INDEX($M$83:$T$97,MATCH(K34,$M$83:$M$97,-1),4),IF($F34=$F$106,INDEX($G$107:$J$116,MATCH(K34,$G$107:$G$116,-1),4),"CHECK THIS!!"))))</f>
        <v>BN-05</v>
      </c>
      <c r="K34" s="59">
        <v>4.2699999999999996</v>
      </c>
      <c r="L34" s="13">
        <f>E34*K34</f>
        <v>140.91</v>
      </c>
      <c r="M34" s="12">
        <f>IF(K34&gt;H34,L34-I34,0)</f>
        <v>50.16</v>
      </c>
      <c r="N34" s="13">
        <f>IF($F34=$F$82,VLOOKUP($J34,$F$83:$I$101,4,),IF($F34=$L$82,VLOOKUP($J34,$L$83:$O$97,4,),IF($F34=$F$106,VLOOKUP($J34,$F$107:$I$116,4,),MROUND($M34*INDEX($F$120:$I$128,MATCH($F34,$F$120:$F$128,0),3),INDEX($F$120:$I$128,MATCH($F34,$F$120:$F$128,0),4)))))</f>
        <v>3</v>
      </c>
      <c r="O34" s="13">
        <f>IF(OR(,$F34=$F$123,$F34=$F$124,$F34=$F$125,$F34=$F$126,$F34=$F$127,$F34=$F$128),$N34,IF(OR($F34=$F$82,$F34=$L$82,$F34=$F$106),N34*E34,"CHECK THIS!!"))</f>
        <v>99</v>
      </c>
      <c r="P34"/>
      <c r="Q34"/>
      <c r="R34"/>
      <c r="S34"/>
      <c r="T34"/>
      <c r="U34"/>
      <c r="V34" s="1"/>
      <c r="W34" s="1"/>
      <c r="X34" s="1"/>
    </row>
    <row r="35" spans="1:24" s="6" customFormat="1">
      <c r="A35" s="7" t="s">
        <v>9</v>
      </c>
      <c r="B35" s="7"/>
      <c r="C35" s="7"/>
      <c r="D35" s="7"/>
      <c r="E35" s="7"/>
      <c r="F35" s="7"/>
      <c r="G35" s="7"/>
      <c r="H35" s="14"/>
      <c r="I35" s="15">
        <f>SUM(I30:I34)</f>
        <v>601.35</v>
      </c>
      <c r="J35" s="16"/>
      <c r="K35" s="15"/>
      <c r="L35" s="15">
        <f>SUM(L30:L34)</f>
        <v>840.1099999999999</v>
      </c>
      <c r="M35" s="15">
        <f>SUM(M30:M34)</f>
        <v>238.75999999999996</v>
      </c>
      <c r="N35" s="15"/>
      <c r="O35" s="15">
        <f>SUM(O30:O34)</f>
        <v>375</v>
      </c>
      <c r="P35" s="15"/>
      <c r="Q35" s="15"/>
      <c r="R35" s="15"/>
      <c r="S35" s="15"/>
      <c r="T35" s="7"/>
      <c r="U35" s="7"/>
      <c r="V35" s="7"/>
      <c r="W35" s="7"/>
      <c r="X35" s="7"/>
    </row>
    <row r="36" spans="1:24">
      <c r="A36" s="1"/>
      <c r="B36" s="1"/>
      <c r="C36" s="1"/>
      <c r="D36" s="1"/>
      <c r="E36" s="1"/>
      <c r="F36" s="1"/>
      <c r="G36" s="1"/>
      <c r="H36" s="1"/>
      <c r="I36" s="1"/>
      <c r="J36" s="1"/>
      <c r="K36" s="11"/>
      <c r="L36" s="11"/>
      <c r="M36" s="1"/>
      <c r="N36" s="11"/>
      <c r="O36" s="11"/>
      <c r="P36" s="11"/>
      <c r="Q36" s="11"/>
      <c r="R36" s="11"/>
      <c r="S36" s="11"/>
      <c r="T36" s="1"/>
      <c r="U36" s="1"/>
      <c r="V36" s="1"/>
      <c r="W36" s="1"/>
      <c r="X36" s="1"/>
    </row>
    <row r="37" spans="1:24" s="25" customFormat="1" ht="28">
      <c r="A37" s="2" t="s">
        <v>183</v>
      </c>
      <c r="B37" s="2" t="str">
        <f>B$4</f>
        <v>Length (inches)</v>
      </c>
      <c r="C37" s="2" t="str">
        <f>C$4</f>
        <v>Height (inches)</v>
      </c>
      <c r="D37" s="2" t="str">
        <f>D$4</f>
        <v>Waste Factor</v>
      </c>
      <c r="E37" s="2" t="str">
        <f>E$4</f>
        <v>SF/Count</v>
      </c>
      <c r="F37" s="2" t="str">
        <f t="shared" ref="F37:X37" si="2">F$4</f>
        <v>Tile Type</v>
      </c>
      <c r="G37" s="2" t="str">
        <f t="shared" si="2"/>
        <v>Base Tile_x000D_Level</v>
      </c>
      <c r="H37" s="2" t="str">
        <f t="shared" si="2"/>
        <v>Base Tile_x000D_COST/SF</v>
      </c>
      <c r="I37" s="2" t="str">
        <f t="shared" si="2"/>
        <v>Base Tile_x000D_Total COST</v>
      </c>
      <c r="J37" s="2" t="str">
        <f t="shared" si="2"/>
        <v>Selected Tile_x000D_Level</v>
      </c>
      <c r="K37" s="2" t="str">
        <f t="shared" si="2"/>
        <v>Selected Tile_x000D_COST/SF</v>
      </c>
      <c r="L37" s="2" t="str">
        <f t="shared" si="2"/>
        <v>Selected Tile_x000D_Total COST</v>
      </c>
      <c r="M37" s="2" t="str">
        <f t="shared" si="2"/>
        <v>COST DIFF_x000D_(total compared)</v>
      </c>
      <c r="N37" s="2" t="str">
        <f t="shared" si="2"/>
        <v>Selected Tile_x000D_Price/SF</v>
      </c>
      <c r="O37" s="2" t="str">
        <f t="shared" si="2"/>
        <v>Selected Tile_x000D_Price Total</v>
      </c>
      <c r="P37" s="2" t="str">
        <f t="shared" si="2"/>
        <v>Group</v>
      </c>
      <c r="Q37" s="2" t="str">
        <f t="shared" si="2"/>
        <v>Manufacturer</v>
      </c>
      <c r="R37" s="2" t="str">
        <f t="shared" si="2"/>
        <v>Style</v>
      </c>
      <c r="S37" s="2" t="str">
        <f t="shared" si="2"/>
        <v>Type</v>
      </c>
      <c r="T37" s="2" t="str">
        <f t="shared" si="2"/>
        <v>Dimension</v>
      </c>
      <c r="U37" s="2" t="str">
        <f t="shared" si="2"/>
        <v>Color</v>
      </c>
      <c r="V37" s="2" t="str">
        <f t="shared" si="2"/>
        <v>Grout</v>
      </c>
      <c r="W37" s="2" t="str">
        <f t="shared" si="2"/>
        <v>Pattern</v>
      </c>
      <c r="X37" s="2" t="str">
        <f t="shared" si="2"/>
        <v>Direction</v>
      </c>
    </row>
    <row r="38" spans="1:24">
      <c r="A38" s="31" t="s">
        <v>184</v>
      </c>
      <c r="B38" s="31">
        <f>10*12</f>
        <v>120</v>
      </c>
      <c r="C38" s="31">
        <f>5*12</f>
        <v>60</v>
      </c>
      <c r="D38" s="31">
        <v>1.2</v>
      </c>
      <c r="E38" s="3">
        <v>26</v>
      </c>
      <c r="F38" s="27" t="s">
        <v>162</v>
      </c>
      <c r="G38" s="28" t="s">
        <v>156</v>
      </c>
      <c r="H38" s="12">
        <f>IF($F38=$F$82,INDEX($G$83:$J$101,MATCH($G38,$J$83:$J$101,-1),1),IF($F38=$L$82,INDEX($M$83:$T$97,MATCH($G38,$T$83:$T$97,-1),1),IF($F38=$F$106,INDEX($G$107:$J$116,MATCH($G38,$J$107:$J$116,-1),1),VLOOKUP($F38,$F$120:$I$128,2,FALSE))))</f>
        <v>5.55</v>
      </c>
      <c r="I38" s="13">
        <f>H38*E38</f>
        <v>144.29999999999998</v>
      </c>
      <c r="J38" s="3" t="str">
        <f>IF(OR($F38=$F$123,$F38=$F$124,$F38=$F$125,$F38=$F$126,$F38=$F$127,$F38=$F$128),$F38,IF($F38=$F$82,INDEX($G$83:$J$101,MATCH(K38,$G$83:$G$101,-1),4),IF($F38=$L$82,INDEX($M$83:$T$97,MATCH(K38,$M$83:$M$97,-1),4),IF($F38=$F$106,INDEX($G$107:$J$116,MATCH(K38,$G$107:$G$116,-1),4),"CHECK THIS!!"))))</f>
        <v>T-04</v>
      </c>
      <c r="K38" s="35">
        <v>7.6</v>
      </c>
      <c r="L38" s="13">
        <f>E38*K38</f>
        <v>197.6</v>
      </c>
      <c r="M38" s="12">
        <f>IF(K38&gt;H38,L38-I38,0)</f>
        <v>53.300000000000011</v>
      </c>
      <c r="N38" s="13">
        <f>IF($F38=$F$82,VLOOKUP($J38,$F$83:$I$101,4,),IF($F38=$L$82,VLOOKUP($J38,$L$83:$O$97,4,),IF($F38=$F$106,VLOOKUP($J38,$F$107:$I$116,4,),MROUND($M38*INDEX($F$120:$I$128,MATCH($F38,$F$120:$F$128,0),3),INDEX($F$120:$I$128,MATCH($F38,$F$120:$F$128,0),4)))))</f>
        <v>3</v>
      </c>
      <c r="O38" s="13">
        <f>IF(OR(,$F38=$F$123,$F38=$F$124,$F38=$F$125,$F38=$F$126,$F38=$F$127,$F38=$F$128),$N38,IF(OR($F38=$F$82,$F38=$L$82,$F38=$F$106),N38*E38,"CHECK THIS!!"))</f>
        <v>78</v>
      </c>
      <c r="P38"/>
      <c r="Q38"/>
      <c r="R38"/>
      <c r="S38"/>
      <c r="T38"/>
      <c r="U38"/>
      <c r="V38" s="1"/>
      <c r="W38" s="1" t="s">
        <v>121</v>
      </c>
      <c r="X38" s="1" t="s">
        <v>126</v>
      </c>
    </row>
    <row r="39" spans="1:24">
      <c r="A39" s="31" t="s">
        <v>191</v>
      </c>
      <c r="B39" s="31"/>
      <c r="C39" s="31"/>
      <c r="D39" s="31"/>
      <c r="E39" s="1">
        <v>81</v>
      </c>
      <c r="F39" s="27" t="s">
        <v>162</v>
      </c>
      <c r="G39" s="28" t="s">
        <v>156</v>
      </c>
      <c r="H39" s="12">
        <f>IF($F39=$F$82,INDEX($G$83:$J$101,MATCH($G39,$J$83:$J$101,-1),1),IF($F39=$L$82,INDEX($M$83:$T$97,MATCH($G39,$T$83:$T$97,-1),1),IF($F39=$F$106,INDEX($G$107:$J$116,MATCH($G39,$J$107:$J$116,-1),1),VLOOKUP($F39,$F$120:$I$128,2,FALSE))))</f>
        <v>5.55</v>
      </c>
      <c r="I39" s="13">
        <f>H39*E39</f>
        <v>449.55</v>
      </c>
      <c r="J39" s="3" t="str">
        <f>IF(OR($F39=$F$123,$F39=$F$124,$F39=$F$125,$F39=$F$126,$F39=$F$127,$F39=$F$128),$F39,IF($F39=$F$82,INDEX($G$83:$J$101,MATCH(K39,$G$83:$G$101,-1),4),IF($F39=$L$82,INDEX($M$83:$T$97,MATCH(K39,$M$83:$M$97,-1),4),IF($F39=$F$106,INDEX($G$107:$J$116,MATCH(K39,$G$107:$G$116,-1),4),"CHECK THIS!!"))))</f>
        <v>T-04</v>
      </c>
      <c r="K39" s="35">
        <v>7.6</v>
      </c>
      <c r="L39" s="13">
        <f>E39*K39</f>
        <v>615.6</v>
      </c>
      <c r="M39" s="12">
        <f>IF(K39&gt;H39,L39-I39,0)</f>
        <v>166.05</v>
      </c>
      <c r="N39" s="13">
        <f>IF($F39=$F$82,VLOOKUP($J39,$F$83:$I$101,4,),IF($F39=$L$82,VLOOKUP($J39,$L$83:$O$97,4,),IF($F39=$F$106,VLOOKUP($J39,$F$107:$I$116,4,),MROUND($M39*INDEX($F$120:$I$128,MATCH($F39,$F$120:$F$128,0),3),INDEX($F$120:$I$128,MATCH($F39,$F$120:$F$128,0),4)))))</f>
        <v>3</v>
      </c>
      <c r="O39" s="13">
        <f>IF(OR(,$F39=$F$123,$F39=$F$124,$F39=$F$125,$F39=$F$126,$F39=$F$127,$F39=$F$128),$N39,IF(OR($F39=$F$82,$F39=$L$82,$F39=$F$106),N39*E39,"CHECK THIS!!"))</f>
        <v>243</v>
      </c>
      <c r="P39"/>
      <c r="Q39"/>
      <c r="R39"/>
      <c r="S39"/>
      <c r="T39"/>
      <c r="U39"/>
      <c r="V39" s="1"/>
      <c r="W39" s="1" t="s">
        <v>121</v>
      </c>
      <c r="X39" s="1" t="s">
        <v>122</v>
      </c>
    </row>
    <row r="40" spans="1:24" hidden="1" outlineLevel="1">
      <c r="A40" s="31" t="s">
        <v>192</v>
      </c>
      <c r="B40" s="31"/>
      <c r="C40" s="31"/>
      <c r="D40" s="31"/>
      <c r="E40" s="1">
        <v>13</v>
      </c>
      <c r="F40" s="27" t="s">
        <v>162</v>
      </c>
      <c r="G40" s="28" t="s">
        <v>156</v>
      </c>
      <c r="H40" s="12">
        <f>IF($F40=$F$82,INDEX($G$83:$J$101,MATCH($G40,$J$83:$J$101,-1),1),IF($F40=$L$82,INDEX($M$83:$T$97,MATCH($G40,$T$83:$T$97,-1),1),IF($F40=$F$106,INDEX($G$107:$J$116,MATCH($G40,$J$107:$J$116,-1),1),VLOOKUP($F40,$F$120:$I$128,2,FALSE))))</f>
        <v>5.55</v>
      </c>
      <c r="I40" s="13">
        <f>H40*E40</f>
        <v>72.149999999999991</v>
      </c>
      <c r="J40" s="3" t="str">
        <f>IF(OR($F40=$F$123,$F40=$F$124,$F40=$F$125,$F40=$F$126,$F40=$F$127,$F40=$F$128),$F40,IF($F40=$F$82,INDEX($G$83:$J$101,MATCH(K40,$G$83:$G$101,-1),4),IF($F40=$L$82,INDEX($M$83:$T$97,MATCH(K40,$M$83:$M$97,-1),4),IF($F40=$F$106,INDEX($G$107:$J$116,MATCH(K40,$G$107:$G$116,-1),4),"CHECK THIS!!"))))</f>
        <v>T-11</v>
      </c>
      <c r="K40" s="35">
        <v>15.97</v>
      </c>
      <c r="L40" s="13">
        <f>E40*K40</f>
        <v>207.61</v>
      </c>
      <c r="M40" s="12">
        <f>IF(K40&gt;H40,L40-I40,0)</f>
        <v>135.46000000000004</v>
      </c>
      <c r="N40" s="13">
        <f>IF($F40=$F$82,VLOOKUP($J40,$F$83:$I$101,4,),IF($F40=$L$82,VLOOKUP($J40,$L$83:$O$97,4,),IF($F40=$F$106,VLOOKUP($J40,$F$107:$I$116,4,),MROUND($M40*INDEX($F$120:$I$128,MATCH($F40,$F$120:$F$128,0),3),INDEX($F$120:$I$128,MATCH($F40,$F$120:$F$128,0),4)))))</f>
        <v>18.5</v>
      </c>
      <c r="O40" s="13">
        <f>IF(OR(,$F40=$F$123,$F40=$F$124,$F40=$F$125,$F40=$F$126,$F40=$F$127,$F40=$F$128),$N40,IF(OR($F40=$F$82,$F40=$L$82,$F40=$F$106),N40*E40,"CHECK THIS!!"))</f>
        <v>240.5</v>
      </c>
      <c r="P40"/>
      <c r="Q40"/>
      <c r="R40"/>
      <c r="S40"/>
      <c r="T40"/>
      <c r="U40"/>
      <c r="V40" s="1"/>
      <c r="W40" s="1"/>
      <c r="X40" s="1"/>
    </row>
    <row r="41" spans="1:24" collapsed="1">
      <c r="A41" s="31" t="s">
        <v>185</v>
      </c>
      <c r="B41" s="31"/>
      <c r="C41" s="31"/>
      <c r="D41" s="31"/>
      <c r="E41" s="1">
        <v>45</v>
      </c>
      <c r="F41" s="27" t="s">
        <v>164</v>
      </c>
      <c r="G41" s="28" t="s">
        <v>102</v>
      </c>
      <c r="H41" s="12">
        <f>IF($F41=$F$82,INDEX($G$83:$J$101,MATCH($G41,$J$83:$J$101,-1),1),IF($F41=$L$82,INDEX($M$83:$T$97,MATCH($G41,$T$83:$T$97,-1),1),IF($F41=$F$106,INDEX($G$107:$J$116,MATCH($G41,$J$107:$J$116,-1),1),VLOOKUP($F41,$F$120:$I$128,2,FALSE))))</f>
        <v>2.75</v>
      </c>
      <c r="I41" s="13">
        <f>H41*E41</f>
        <v>123.75</v>
      </c>
      <c r="J41" s="3" t="str">
        <f>IF(OR($F41=$F$123,$F41=$F$124,$F41=$F$125,$F41=$F$126,$F41=$F$127,$F41=$F$128),$F41,IF($F41=$F$82,INDEX($G$83:$J$101,MATCH(K41,$G$83:$G$101,-1),4),IF($F41=$L$82,INDEX($M$83:$T$97,MATCH(K41,$M$83:$M$97,-1),4),IF($F41=$F$106,INDEX($G$107:$J$116,MATCH(K41,$G$107:$G$116,-1),4),"CHECK THIS!!"))))</f>
        <v>BN-05</v>
      </c>
      <c r="K41" s="59">
        <v>4.2699999999999996</v>
      </c>
      <c r="L41" s="13">
        <f>E41*K41</f>
        <v>192.14999999999998</v>
      </c>
      <c r="M41" s="12">
        <f>IF(K41&gt;H41,L41-I41,0)</f>
        <v>68.399999999999977</v>
      </c>
      <c r="N41" s="13">
        <f>IF($F41=$F$82,VLOOKUP($J41,$F$83:$I$101,4,),IF($F41=$L$82,VLOOKUP($J41,$L$83:$O$97,4,),IF($F41=$F$106,VLOOKUP($J41,$F$107:$I$116,4,),MROUND($M41*INDEX($F$120:$I$128,MATCH($F41,$F$120:$F$128,0),3),INDEX($F$120:$I$128,MATCH($F41,$F$120:$F$128,0),4)))))</f>
        <v>3</v>
      </c>
      <c r="O41" s="13">
        <f>IF(OR(,$F41=$F$123,$F41=$F$124,$F41=$F$125,$F41=$F$126,$F41=$F$127,$F41=$F$128),$N41,IF(OR($F41=$F$82,$F41=$L$82,$F41=$F$106),N41*E41,"CHECK THIS!!"))</f>
        <v>135</v>
      </c>
      <c r="P41"/>
      <c r="Q41"/>
      <c r="R41"/>
      <c r="S41"/>
      <c r="T41"/>
      <c r="U41"/>
      <c r="V41" s="1"/>
      <c r="W41" s="1"/>
      <c r="X41" s="1"/>
    </row>
    <row r="42" spans="1:24" s="6" customFormat="1">
      <c r="A42" s="7" t="s">
        <v>9</v>
      </c>
      <c r="B42" s="7"/>
      <c r="C42" s="7"/>
      <c r="D42" s="7"/>
      <c r="E42" s="7"/>
      <c r="F42" s="7"/>
      <c r="G42" s="7"/>
      <c r="H42" s="14"/>
      <c r="I42" s="15">
        <f>SUM(I38:I41)</f>
        <v>789.75</v>
      </c>
      <c r="J42" s="16"/>
      <c r="K42" s="15"/>
      <c r="L42" s="15">
        <f>SUM(L38:L41)</f>
        <v>1212.96</v>
      </c>
      <c r="M42" s="15">
        <f>SUM(M38:M41)</f>
        <v>423.21000000000004</v>
      </c>
      <c r="N42" s="15"/>
      <c r="O42" s="15">
        <f>SUM(O38:O41)</f>
        <v>696.5</v>
      </c>
      <c r="P42" s="15"/>
      <c r="Q42" s="15"/>
      <c r="R42" s="15"/>
      <c r="S42" s="15"/>
      <c r="T42" s="7"/>
      <c r="U42" s="7"/>
      <c r="V42" s="7"/>
      <c r="W42" s="7"/>
      <c r="X42" s="7"/>
    </row>
    <row r="43" spans="1:24">
      <c r="A43" s="1"/>
      <c r="B43" s="1"/>
      <c r="C43" s="1"/>
      <c r="D43" s="1"/>
      <c r="E43" s="1"/>
      <c r="F43" s="1"/>
      <c r="G43" s="1"/>
      <c r="H43" s="1"/>
      <c r="I43" s="1"/>
      <c r="J43" s="1"/>
      <c r="K43" s="11"/>
      <c r="L43" s="11"/>
      <c r="M43" s="1"/>
      <c r="N43" s="11"/>
      <c r="O43" s="11"/>
      <c r="P43" s="11"/>
      <c r="Q43" s="11"/>
      <c r="R43" s="11"/>
      <c r="S43" s="11"/>
      <c r="T43" s="1"/>
      <c r="U43" s="1"/>
      <c r="V43" s="1"/>
      <c r="W43" s="1"/>
      <c r="X43" s="1"/>
    </row>
    <row r="44" spans="1:24" s="25" customFormat="1" ht="28">
      <c r="A44" s="2" t="s">
        <v>190</v>
      </c>
      <c r="B44" s="2" t="str">
        <f>B$4</f>
        <v>Length (inches)</v>
      </c>
      <c r="C44" s="2" t="str">
        <f>C$4</f>
        <v>Height (inches)</v>
      </c>
      <c r="D44" s="2" t="str">
        <f>D$4</f>
        <v>Waste Factor</v>
      </c>
      <c r="E44" s="2" t="str">
        <f>E$4</f>
        <v>SF/Count</v>
      </c>
      <c r="F44" s="2" t="str">
        <f t="shared" ref="F44:X44" si="3">F$4</f>
        <v>Tile Type</v>
      </c>
      <c r="G44" s="2" t="str">
        <f t="shared" si="3"/>
        <v>Base Tile_x000D_Level</v>
      </c>
      <c r="H44" s="2" t="str">
        <f t="shared" si="3"/>
        <v>Base Tile_x000D_COST/SF</v>
      </c>
      <c r="I44" s="2" t="str">
        <f t="shared" si="3"/>
        <v>Base Tile_x000D_Total COST</v>
      </c>
      <c r="J44" s="2" t="str">
        <f t="shared" si="3"/>
        <v>Selected Tile_x000D_Level</v>
      </c>
      <c r="K44" s="2" t="str">
        <f t="shared" si="3"/>
        <v>Selected Tile_x000D_COST/SF</v>
      </c>
      <c r="L44" s="2" t="str">
        <f t="shared" si="3"/>
        <v>Selected Tile_x000D_Total COST</v>
      </c>
      <c r="M44" s="2" t="str">
        <f t="shared" si="3"/>
        <v>COST DIFF_x000D_(total compared)</v>
      </c>
      <c r="N44" s="2" t="str">
        <f t="shared" si="3"/>
        <v>Selected Tile_x000D_Price/SF</v>
      </c>
      <c r="O44" s="2" t="str">
        <f t="shared" si="3"/>
        <v>Selected Tile_x000D_Price Total</v>
      </c>
      <c r="P44" s="2" t="str">
        <f t="shared" si="3"/>
        <v>Group</v>
      </c>
      <c r="Q44" s="2" t="str">
        <f t="shared" si="3"/>
        <v>Manufacturer</v>
      </c>
      <c r="R44" s="2" t="str">
        <f t="shared" si="3"/>
        <v>Style</v>
      </c>
      <c r="S44" s="2" t="str">
        <f t="shared" si="3"/>
        <v>Type</v>
      </c>
      <c r="T44" s="2" t="str">
        <f t="shared" si="3"/>
        <v>Dimension</v>
      </c>
      <c r="U44" s="2" t="str">
        <f t="shared" si="3"/>
        <v>Color</v>
      </c>
      <c r="V44" s="2" t="str">
        <f t="shared" si="3"/>
        <v>Grout</v>
      </c>
      <c r="W44" s="2" t="str">
        <f t="shared" si="3"/>
        <v>Pattern</v>
      </c>
      <c r="X44" s="2" t="str">
        <f t="shared" si="3"/>
        <v>Direction</v>
      </c>
    </row>
    <row r="45" spans="1:24">
      <c r="A45" s="31" t="s">
        <v>186</v>
      </c>
      <c r="B45" s="31"/>
      <c r="C45" s="31"/>
      <c r="D45" s="31"/>
      <c r="E45" s="1">
        <v>77</v>
      </c>
      <c r="F45" s="27" t="s">
        <v>162</v>
      </c>
      <c r="G45" s="28" t="s">
        <v>156</v>
      </c>
      <c r="H45" s="12">
        <f>IF($F45=$F$82,INDEX($G$83:$J$101,MATCH($G45,$J$83:$J$101,-1),1),IF($F45=$L$82,INDEX($M$83:$T$97,MATCH($G45,$T$83:$T$97,-1),1),IF($F45=$F$106,INDEX($G$107:$J$116,MATCH($G45,$J$107:$J$116,-1),1),VLOOKUP($F45,$F$120:$I$128,2,FALSE))))</f>
        <v>5.55</v>
      </c>
      <c r="I45" s="13">
        <f>H45*E45</f>
        <v>427.34999999999997</v>
      </c>
      <c r="J45" s="3" t="str">
        <f>IF(OR($F45=$F$123,$F45=$F$124,$F45=$F$125,$F45=$F$126,$F45=$F$127,$F45=$F$128),$F45,IF($F45=$F$82,INDEX($G$83:$J$101,MATCH(K45,$G$83:$G$101,-1),4),IF($F45=$L$82,INDEX($M$83:$T$97,MATCH(K45,$M$83:$M$97,-1),4),IF($F45=$F$106,INDEX($G$107:$J$116,MATCH(K45,$G$107:$G$116,-1),4),"CHECK THIS!!"))))</f>
        <v>T-04</v>
      </c>
      <c r="K45" s="35">
        <v>7.6</v>
      </c>
      <c r="L45" s="13">
        <f>E45*K45</f>
        <v>585.19999999999993</v>
      </c>
      <c r="M45" s="12">
        <f>IF(K45&gt;H45,L45-I45,0)</f>
        <v>157.84999999999997</v>
      </c>
      <c r="N45" s="13">
        <f>IF($F45=$F$82,VLOOKUP($J45,$F$83:$I$101,4,),IF($F45=$L$82,VLOOKUP($J45,$L$83:$O$97,4,),IF($F45=$F$106,VLOOKUP($J45,$F$107:$I$116,4,),MROUND($M45*INDEX($F$120:$I$128,MATCH($F45,$F$120:$F$128,0),3),INDEX($F$120:$I$128,MATCH($F45,$F$120:$F$128,0),4)))))</f>
        <v>3</v>
      </c>
      <c r="O45" s="13">
        <f>IF(OR(,$F45=$F$123,$F45=$F$124,$F45=$F$125,$F45=$F$126,$F45=$F$127,$F45=$F$128),$N45,IF(OR($F45=$F$82,$F45=$L$82,$F45=$F$106),N45*E45,"CHECK THIS!!"))</f>
        <v>231</v>
      </c>
      <c r="P45"/>
      <c r="Q45"/>
      <c r="R45"/>
      <c r="S45"/>
      <c r="T45"/>
      <c r="U45"/>
      <c r="V45" s="1"/>
      <c r="W45" s="1" t="s">
        <v>121</v>
      </c>
      <c r="X45" s="1" t="s">
        <v>126</v>
      </c>
    </row>
    <row r="46" spans="1:24">
      <c r="A46" s="31" t="s">
        <v>187</v>
      </c>
      <c r="B46" s="31"/>
      <c r="C46" s="31"/>
      <c r="D46" s="31"/>
      <c r="E46" s="1">
        <v>66</v>
      </c>
      <c r="F46" s="27" t="s">
        <v>162</v>
      </c>
      <c r="G46" s="28" t="s">
        <v>103</v>
      </c>
      <c r="H46" s="12">
        <f>IF($F46=$F$82,INDEX($G$83:$J$101,MATCH($G46,$J$83:$J$101,-1),1),IF($F46=$L$82,INDEX($M$83:$T$97,MATCH($G46,$T$83:$T$97,-1),1),IF($F46=$F$106,INDEX($G$107:$J$116,MATCH($G46,$J$107:$J$116,-1),1),VLOOKUP($F46,$F$120:$I$128,2,FALSE))))</f>
        <v>5.55</v>
      </c>
      <c r="I46" s="13">
        <f>H46*E46</f>
        <v>366.3</v>
      </c>
      <c r="J46" s="3" t="str">
        <f>IF(OR($F46=$F$123,$F46=$F$124,$F46=$F$125,$F46=$F$126,$F46=$F$127,$F46=$F$128),$F46,IF($F46=$F$82,INDEX($G$83:$J$101,MATCH(K46,$G$83:$G$101,-1),4),IF($F46=$L$82,INDEX($M$83:$T$97,MATCH(K46,$M$83:$M$97,-1),4),IF($F46=$F$106,INDEX($G$107:$J$116,MATCH(K46,$G$107:$G$116,-1),4),"CHECK THIS!!"))))</f>
        <v>T-04</v>
      </c>
      <c r="K46" s="35">
        <v>7.6</v>
      </c>
      <c r="L46" s="13">
        <f>E46*K46</f>
        <v>501.59999999999997</v>
      </c>
      <c r="M46" s="12">
        <f>IF(K46&gt;H46,L46-I46,0)</f>
        <v>135.29999999999995</v>
      </c>
      <c r="N46" s="13">
        <f>IF($F46=$F$82,VLOOKUP($J46,$F$83:$I$101,4,),IF($F46=$L$82,VLOOKUP($J46,$L$83:$O$97,4,),IF($F46=$F$106,VLOOKUP($J46,$F$107:$I$116,4,),MROUND($M46*INDEX($F$120:$I$128,MATCH($F46,$F$120:$F$128,0),3),INDEX($F$120:$I$128,MATCH($F46,$F$120:$F$128,0),4)))))</f>
        <v>3</v>
      </c>
      <c r="O46" s="13">
        <f>IF(OR(,$F46=$F$123,$F46=$F$124,$F46=$F$125,$F46=$F$126,$F46=$F$127,$F46=$F$128),$N46,IF(OR($F46=$F$82,$F46=$L$82,$F46=$F$106),N46*E46,"CHECK THIS!!"))</f>
        <v>198</v>
      </c>
      <c r="P46"/>
      <c r="Q46"/>
      <c r="R46"/>
      <c r="S46"/>
      <c r="T46"/>
      <c r="U46"/>
      <c r="V46" s="1"/>
      <c r="W46" s="1" t="s">
        <v>121</v>
      </c>
      <c r="X46" s="1" t="s">
        <v>122</v>
      </c>
    </row>
    <row r="47" spans="1:24" hidden="1" outlineLevel="1">
      <c r="A47" s="31" t="s">
        <v>188</v>
      </c>
      <c r="B47" s="31"/>
      <c r="C47" s="31"/>
      <c r="D47" s="31"/>
      <c r="E47" s="1">
        <v>0</v>
      </c>
      <c r="F47" s="27" t="s">
        <v>166</v>
      </c>
      <c r="G47" s="28" t="s">
        <v>156</v>
      </c>
      <c r="H47" s="12">
        <f>IF($F47=$F$82,INDEX($G$83:$J$101,MATCH($G47,$J$83:$J$101,-1),1),IF($F47=$L$82,INDEX($M$83:$T$97,MATCH($G47,$T$83:$T$97,-1),1),IF($F47=$F$106,INDEX($G$107:$J$116,MATCH($G47,$J$107:$J$116,-1),1),VLOOKUP($F47,$F$120:$I$128,2,FALSE))))</f>
        <v>0</v>
      </c>
      <c r="I47" s="13">
        <f>H47*E47</f>
        <v>0</v>
      </c>
      <c r="J47" s="3" t="str">
        <f>IF(OR($F47=$F$123,$F47=$F$124,$F47=$F$125,$F47=$F$126,$F47=$F$127,$F47=$F$128),$F47,IF($F47=$F$82,INDEX($G$83:$J$101,MATCH(K47,$G$83:$G$101,-1),4),IF($F47=$L$82,INDEX($M$83:$T$97,MATCH(K47,$M$83:$M$97,-1),4),IF($F47=$F$106,INDEX($G$107:$J$116,MATCH(K47,$G$107:$G$116,-1),4),"CHECK THIS!!"))))</f>
        <v>5-Pattern</v>
      </c>
      <c r="K47" s="35">
        <v>0</v>
      </c>
      <c r="L47" s="13">
        <f>E47*K47</f>
        <v>0</v>
      </c>
      <c r="M47" s="12">
        <f>IF(K47&gt;H47,L47-I47,0)</f>
        <v>0</v>
      </c>
      <c r="N47" s="13">
        <f>IF($F47=$F$82,VLOOKUP($J47,$F$83:$I$101,4,),IF($F47=$L$82,VLOOKUP($J47,$L$83:$O$97,4,),IF($F47=$F$106,VLOOKUP($J47,$F$107:$I$116,4,),MROUND($M47*INDEX($F$120:$I$128,MATCH($F47,$F$120:$F$128,0),3),INDEX($F$120:$I$128,MATCH($F47,$F$120:$F$128,0),4)))))</f>
        <v>0</v>
      </c>
      <c r="O47" s="13">
        <f>IF(OR(,$F47=$F$123,$F47=$F$124,$F47=$F$125,$F47=$F$126,$F47=$F$127,$F47=$F$128),$N47,IF(OR($F47=$F$82,$F47=$L$82,$F47=$F$106),N47*E47,"CHECK THIS!!"))</f>
        <v>0</v>
      </c>
      <c r="P47"/>
      <c r="Q47"/>
      <c r="R47"/>
      <c r="S47"/>
      <c r="T47"/>
      <c r="U47"/>
      <c r="V47" s="1"/>
      <c r="W47" s="1"/>
      <c r="X47" s="1"/>
    </row>
    <row r="48" spans="1:24" collapsed="1">
      <c r="A48" s="31" t="s">
        <v>189</v>
      </c>
      <c r="B48" s="31"/>
      <c r="C48" s="31"/>
      <c r="D48" s="31"/>
      <c r="E48" s="1">
        <v>33</v>
      </c>
      <c r="F48" s="27" t="s">
        <v>164</v>
      </c>
      <c r="G48" s="28" t="s">
        <v>102</v>
      </c>
      <c r="H48" s="12">
        <f>IF($F48=$F$82,INDEX($G$83:$J$101,MATCH($G48,$J$83:$J$101,-1),1),IF($F48=$L$82,INDEX($M$83:$T$97,MATCH($G48,$T$83:$T$97,-1),1),IF($F48=$F$106,INDEX($G$107:$J$116,MATCH($G48,$J$107:$J$116,-1),1),VLOOKUP($F48,$F$120:$I$128,2,FALSE))))</f>
        <v>2.75</v>
      </c>
      <c r="I48" s="13">
        <f>H48*E48</f>
        <v>90.75</v>
      </c>
      <c r="J48" s="3" t="str">
        <f>IF(OR($F48=$F$123,$F48=$F$124,$F48=$F$125,$F48=$F$126,$F48=$F$127,$F48=$F$128),$F48,IF($F48=$F$82,INDEX($G$83:$J$101,MATCH(K48,$G$83:$G$101,-1),4),IF($F48=$L$82,INDEX($M$83:$T$97,MATCH(K48,$M$83:$M$97,-1),4),IF($F48=$F$106,INDEX($G$107:$J$116,MATCH(K48,$G$107:$G$116,-1),4),"CHECK THIS!!"))))</f>
        <v>BN-05</v>
      </c>
      <c r="K48" s="59">
        <v>4.2699999999999996</v>
      </c>
      <c r="L48" s="13">
        <f>E48*K48</f>
        <v>140.91</v>
      </c>
      <c r="M48" s="12">
        <f>IF(K48&gt;H48,L48-I48,0)</f>
        <v>50.16</v>
      </c>
      <c r="N48" s="13">
        <f>IF($F48=$F$82,VLOOKUP($J48,$F$83:$I$101,4,),IF($F48=$L$82,VLOOKUP($J48,$L$83:$O$97,4,),IF($F48=$F$106,VLOOKUP($J48,$F$107:$I$116,4,),MROUND($M48*INDEX($F$120:$I$128,MATCH($F48,$F$120:$F$128,0),3),INDEX($F$120:$I$128,MATCH($F48,$F$120:$F$128,0),4)))))</f>
        <v>3</v>
      </c>
      <c r="O48" s="13">
        <f>IF(OR(,$F48=$F$123,$F48=$F$124,$F48=$F$125,$F48=$F$126,$F48=$F$127,$F48=$F$128),$N48,IF(OR($F48=$F$82,$F48=$L$82,$F48=$F$106),N48*E48,"CHECK THIS!!"))</f>
        <v>99</v>
      </c>
      <c r="P48"/>
      <c r="Q48"/>
      <c r="R48"/>
      <c r="S48"/>
      <c r="T48"/>
      <c r="U48"/>
      <c r="V48" s="1"/>
      <c r="W48" s="1"/>
      <c r="X48" s="1"/>
    </row>
    <row r="49" spans="1:26" s="6" customFormat="1">
      <c r="A49" s="7" t="s">
        <v>9</v>
      </c>
      <c r="B49" s="7"/>
      <c r="C49" s="7"/>
      <c r="D49" s="7"/>
      <c r="E49" s="7"/>
      <c r="F49" s="7"/>
      <c r="G49" s="7"/>
      <c r="H49" s="14"/>
      <c r="I49" s="15">
        <f>SUM(I45:I48)</f>
        <v>884.4</v>
      </c>
      <c r="J49" s="16"/>
      <c r="K49" s="15"/>
      <c r="L49" s="15">
        <f>SUM(L45:L48)</f>
        <v>1227.71</v>
      </c>
      <c r="M49" s="15">
        <f>SUM(M45:M48)</f>
        <v>343.30999999999995</v>
      </c>
      <c r="N49" s="15"/>
      <c r="O49" s="15">
        <f>SUM(O45:O48)</f>
        <v>528</v>
      </c>
      <c r="P49" s="15"/>
      <c r="Q49" s="15"/>
      <c r="R49" s="15"/>
      <c r="S49" s="15"/>
      <c r="T49" s="7"/>
      <c r="U49" s="7"/>
      <c r="V49" s="7"/>
      <c r="W49" s="7"/>
      <c r="X49" s="7"/>
    </row>
    <row r="50" spans="1:26">
      <c r="A50" s="1"/>
      <c r="B50" s="1"/>
      <c r="C50" s="1"/>
      <c r="D50" s="1"/>
      <c r="E50" s="1"/>
      <c r="F50" s="1"/>
      <c r="G50" s="1"/>
      <c r="H50" s="1"/>
      <c r="I50" s="1"/>
      <c r="J50" s="1"/>
      <c r="K50" s="11"/>
      <c r="L50" s="11"/>
      <c r="M50" s="1"/>
      <c r="N50" s="11"/>
      <c r="O50" s="11"/>
      <c r="P50" s="11"/>
      <c r="Q50" s="11"/>
      <c r="R50" s="11"/>
      <c r="S50" s="11"/>
      <c r="T50" s="1"/>
      <c r="U50" s="1"/>
      <c r="V50" s="1"/>
      <c r="W50" s="1"/>
      <c r="X50" s="1"/>
    </row>
    <row r="51" spans="1:26" s="25" customFormat="1" ht="28">
      <c r="A51" s="2" t="s">
        <v>39</v>
      </c>
      <c r="B51" s="2" t="str">
        <f>B$4</f>
        <v>Length (inches)</v>
      </c>
      <c r="C51" s="2" t="str">
        <f>C$4</f>
        <v>Height (inches)</v>
      </c>
      <c r="D51" s="2" t="str">
        <f>D$4</f>
        <v>Waste Factor</v>
      </c>
      <c r="E51" s="2" t="str">
        <f>E$4</f>
        <v>SF/Count</v>
      </c>
      <c r="F51" s="2" t="str">
        <f t="shared" ref="F51:X51" si="4">F$4</f>
        <v>Tile Type</v>
      </c>
      <c r="G51" s="2" t="str">
        <f t="shared" si="4"/>
        <v>Base Tile_x000D_Level</v>
      </c>
      <c r="H51" s="2" t="str">
        <f t="shared" si="4"/>
        <v>Base Tile_x000D_COST/SF</v>
      </c>
      <c r="I51" s="2" t="str">
        <f t="shared" si="4"/>
        <v>Base Tile_x000D_Total COST</v>
      </c>
      <c r="J51" s="2" t="str">
        <f t="shared" si="4"/>
        <v>Selected Tile_x000D_Level</v>
      </c>
      <c r="K51" s="2" t="str">
        <f t="shared" si="4"/>
        <v>Selected Tile_x000D_COST/SF</v>
      </c>
      <c r="L51" s="2" t="str">
        <f t="shared" si="4"/>
        <v>Selected Tile_x000D_Total COST</v>
      </c>
      <c r="M51" s="2" t="str">
        <f t="shared" si="4"/>
        <v>COST DIFF_x000D_(total compared)</v>
      </c>
      <c r="N51" s="2" t="str">
        <f t="shared" si="4"/>
        <v>Selected Tile_x000D_Price/SF</v>
      </c>
      <c r="O51" s="2" t="str">
        <f t="shared" si="4"/>
        <v>Selected Tile_x000D_Price Total</v>
      </c>
      <c r="P51" s="2" t="str">
        <f t="shared" si="4"/>
        <v>Group</v>
      </c>
      <c r="Q51" s="2" t="str">
        <f t="shared" si="4"/>
        <v>Manufacturer</v>
      </c>
      <c r="R51" s="2" t="str">
        <f t="shared" si="4"/>
        <v>Style</v>
      </c>
      <c r="S51" s="2" t="str">
        <f t="shared" si="4"/>
        <v>Type</v>
      </c>
      <c r="T51" s="2" t="str">
        <f t="shared" si="4"/>
        <v>Dimension</v>
      </c>
      <c r="U51" s="2" t="str">
        <f t="shared" si="4"/>
        <v>Color</v>
      </c>
      <c r="V51" s="2" t="str">
        <f t="shared" si="4"/>
        <v>Grout</v>
      </c>
      <c r="W51" s="2" t="str">
        <f t="shared" si="4"/>
        <v>Pattern</v>
      </c>
      <c r="X51" s="2" t="str">
        <f t="shared" si="4"/>
        <v>Direction</v>
      </c>
    </row>
    <row r="52" spans="1:26">
      <c r="A52" s="31" t="s">
        <v>70</v>
      </c>
      <c r="B52" s="31"/>
      <c r="C52" s="31"/>
      <c r="D52" s="31"/>
      <c r="E52" s="1">
        <v>52</v>
      </c>
      <c r="F52" s="27" t="s">
        <v>162</v>
      </c>
      <c r="G52" s="28" t="s">
        <v>156</v>
      </c>
      <c r="H52" s="12">
        <f>IF($F52=$F$82,INDEX($G$83:$J$101,MATCH($G52,$J$83:$J$101,-1),1),IF($F52=$L$82,INDEX($M$83:$T$97,MATCH($G52,$T$83:$T$97,-1),1),IF($F52=$F$106,INDEX($G$107:$J$116,MATCH($G52,$J$107:$J$116,-1),1),VLOOKUP($F52,$F$120:$I$128,2,FALSE))))</f>
        <v>5.55</v>
      </c>
      <c r="I52" s="13">
        <f>H52*E52</f>
        <v>288.59999999999997</v>
      </c>
      <c r="J52" s="3" t="str">
        <f>IF(OR($F52=$F$123,$F52=$F$124,$F52=$F$125,$F52=$F$126,$F52=$F$127,$F52=$F$128),$F52,IF($F52=$F$82,INDEX($G$83:$J$101,MATCH(K52,$G$83:$G$101,-1),4),IF($F52=$L$82,INDEX($M$83:$T$97,MATCH(K52,$M$83:$M$97,-1),4),IF($F52=$F$106,INDEX($G$107:$J$116,MATCH(K52,$G$107:$G$116,-1),4),"CHECK THIS!!"))))</f>
        <v>T-04</v>
      </c>
      <c r="K52" s="59">
        <v>7.6</v>
      </c>
      <c r="L52" s="13">
        <f>E52*K52</f>
        <v>395.2</v>
      </c>
      <c r="M52" s="12">
        <f>IF(K52&gt;H52,L52-I52,0)</f>
        <v>106.60000000000002</v>
      </c>
      <c r="N52" s="13">
        <f>IF($F52=$F$82,VLOOKUP($J52,$F$83:$I$101,4,),IF($F52=$L$82,VLOOKUP($J52,$L$83:$O$97,4,),IF($F52=$F$106,VLOOKUP($J52,$F$107:$I$116,4,),MROUND($M52*INDEX($F$120:$I$128,MATCH($F52,$F$120:$F$128,0),3),INDEX($F$120:$I$128,MATCH($F52,$F$120:$F$128,0),4)))))</f>
        <v>3</v>
      </c>
      <c r="O52" s="13">
        <f>IF(OR(,$F52=$F$123,$F52=$F$124,$F52=$F$125,$F52=$F$126,$F52=$F$127,$F52=$F$128),$N52,IF(OR($F52=$F$82,$F52=$L$82,$F52=$F$106),N52*E52,"CHECK THIS!!"))</f>
        <v>156</v>
      </c>
      <c r="P52"/>
      <c r="Q52"/>
      <c r="R52"/>
      <c r="S52"/>
      <c r="T52"/>
      <c r="U52"/>
      <c r="V52" s="1"/>
      <c r="W52" s="1" t="s">
        <v>121</v>
      </c>
      <c r="X52" s="1" t="s">
        <v>126</v>
      </c>
      <c r="Z52" s="1"/>
    </row>
    <row r="53" spans="1:26">
      <c r="A53" s="31" t="s">
        <v>124</v>
      </c>
      <c r="B53" s="31"/>
      <c r="C53" s="31"/>
      <c r="D53" s="31"/>
      <c r="E53" s="1">
        <v>66</v>
      </c>
      <c r="F53" s="27" t="s">
        <v>162</v>
      </c>
      <c r="G53" s="28" t="s">
        <v>156</v>
      </c>
      <c r="H53" s="12">
        <f>IF($F53=$F$82,INDEX($G$83:$J$101,MATCH($G53,$J$83:$J$101,-1),1),IF($F53=$L$82,INDEX($M$83:$T$97,MATCH($G53,$T$83:$T$97,-1),1),IF($F53=$F$106,INDEX($G$107:$J$116,MATCH($G53,$J$107:$J$116,-1),1),VLOOKUP($F53,$F$120:$I$128,2,FALSE))))</f>
        <v>5.55</v>
      </c>
      <c r="I53" s="13">
        <f>H53*E53</f>
        <v>366.3</v>
      </c>
      <c r="J53" s="3" t="str">
        <f>IF(OR($F53=$F$123,$F53=$F$124,$F53=$F$125,$F53=$F$126,$F53=$F$127,$F53=$F$128),$F53,IF($F53=$F$82,INDEX($G$83:$J$101,MATCH(K53,$G$83:$G$101,-1),4),IF($F53=$L$82,INDEX($M$83:$T$97,MATCH(K53,$M$83:$M$97,-1),4),IF($F53=$F$106,INDEX($G$107:$J$116,MATCH(K53,$G$107:$G$116,-1),4),"CHECK THIS!!"))))</f>
        <v>T-04</v>
      </c>
      <c r="K53" s="35">
        <v>7.6</v>
      </c>
      <c r="L53" s="13">
        <f>E53*K53</f>
        <v>501.59999999999997</v>
      </c>
      <c r="M53" s="12">
        <f>IF(K53&gt;H53,L53-I53,0)</f>
        <v>135.29999999999995</v>
      </c>
      <c r="N53" s="13">
        <f>IF($F53=$F$82,VLOOKUP($J53,$F$83:$I$101,4,),IF($F53=$L$82,VLOOKUP($J53,$L$83:$O$97,4,),IF($F53=$F$106,VLOOKUP($J53,$F$107:$I$116,4,),MROUND($M53*INDEX($F$120:$I$128,MATCH($F53,$F$120:$F$128,0),3),INDEX($F$120:$I$128,MATCH($F53,$F$120:$F$128,0),4)))))</f>
        <v>3</v>
      </c>
      <c r="O53" s="13">
        <f>IF(OR(,$F53=$F$123,$F53=$F$124,$F53=$F$125,$F53=$F$126,$F53=$F$127,$F53=$F$128),$N53,IF(OR($F53=$F$82,$F53=$L$82,$F53=$F$106),N53*E53,"CHECK THIS!!"))</f>
        <v>198</v>
      </c>
      <c r="P53"/>
      <c r="Q53"/>
      <c r="R53"/>
      <c r="S53"/>
      <c r="T53"/>
      <c r="U53"/>
      <c r="V53" s="1"/>
      <c r="W53" s="1" t="s">
        <v>121</v>
      </c>
      <c r="X53" s="1" t="s">
        <v>122</v>
      </c>
    </row>
    <row r="54" spans="1:26" hidden="1" outlineLevel="1">
      <c r="A54" s="31" t="s">
        <v>84</v>
      </c>
      <c r="B54" s="31"/>
      <c r="C54" s="31"/>
      <c r="D54" s="31"/>
      <c r="E54" s="1">
        <v>0</v>
      </c>
      <c r="F54" s="27" t="s">
        <v>166</v>
      </c>
      <c r="G54" s="28" t="s">
        <v>156</v>
      </c>
      <c r="H54" s="12">
        <f>IF($F54=$F$82,INDEX($G$83:$J$101,MATCH($G54,$J$83:$J$101,-1),1),IF($F54=$L$82,INDEX($M$83:$T$97,MATCH($G54,$T$83:$T$97,-1),1),IF($F54=$F$106,INDEX($G$107:$J$116,MATCH($G54,$J$107:$J$116,-1),1),VLOOKUP($F54,$F$120:$I$128,2,FALSE))))</f>
        <v>0</v>
      </c>
      <c r="I54" s="13">
        <f>H54*E54</f>
        <v>0</v>
      </c>
      <c r="J54" s="3" t="str">
        <f>IF(OR($F54=$F$123,$F54=$F$124,$F54=$F$125,$F54=$F$126,$F54=$F$127,$F54=$F$128),$F54,IF($F54=$F$82,INDEX($G$83:$J$101,MATCH(K54,$G$83:$G$101,-1),4),IF($F54=$L$82,INDEX($M$83:$T$97,MATCH(K54,$M$83:$M$97,-1),4),IF($F54=$F$106,INDEX($G$107:$J$116,MATCH(K54,$G$107:$G$116,-1),4),"CHECK THIS!!"))))</f>
        <v>5-Pattern</v>
      </c>
      <c r="K54" s="35">
        <v>0</v>
      </c>
      <c r="L54" s="13">
        <f>E54*K54</f>
        <v>0</v>
      </c>
      <c r="M54" s="12">
        <f>IF(K54&gt;H54,L54-I54,0)</f>
        <v>0</v>
      </c>
      <c r="N54" s="13">
        <f>IF($F54=$F$82,VLOOKUP($J54,$F$83:$I$101,4,),IF($F54=$L$82,VLOOKUP($J54,$L$83:$O$97,4,),IF($F54=$F$106,VLOOKUP($J54,$F$107:$I$116,4,),MROUND($M54*INDEX($F$120:$I$128,MATCH($F54,$F$120:$F$128,0),3),INDEX($F$120:$I$128,MATCH($F54,$F$120:$F$128,0),4)))))</f>
        <v>0</v>
      </c>
      <c r="O54" s="13">
        <f>IF(OR(,$F54=$F$123,$F54=$F$124,$F54=$F$125,$F54=$F$126,$F54=$F$127,$F54=$F$128),$N54,IF(OR($F54=$F$82,$F54=$L$82,$F54=$F$106),N54*E54,"CHECK THIS!!"))</f>
        <v>0</v>
      </c>
      <c r="P54"/>
      <c r="Q54"/>
      <c r="R54"/>
      <c r="S54"/>
      <c r="T54"/>
      <c r="U54"/>
      <c r="V54" s="1"/>
      <c r="W54" s="1"/>
      <c r="X54" s="1"/>
    </row>
    <row r="55" spans="1:26" collapsed="1">
      <c r="A55" s="31" t="s">
        <v>67</v>
      </c>
      <c r="B55" s="31"/>
      <c r="C55" s="31"/>
      <c r="D55" s="31"/>
      <c r="E55" s="1">
        <v>33</v>
      </c>
      <c r="F55" s="27" t="s">
        <v>164</v>
      </c>
      <c r="G55" s="28" t="s">
        <v>102</v>
      </c>
      <c r="H55" s="12">
        <f>IF($F55=$F$82,INDEX($G$83:$J$101,MATCH($G55,$J$83:$J$101,-1),1),IF($F55=$L$82,INDEX($M$83:$T$97,MATCH($G55,$T$83:$T$97,-1),1),IF($F55=$F$106,INDEX($G$107:$J$116,MATCH($G55,$J$107:$J$116,-1),1),VLOOKUP($F55,$F$120:$I$128,2,FALSE))))</f>
        <v>2.75</v>
      </c>
      <c r="I55" s="13">
        <f>H55*E55</f>
        <v>90.75</v>
      </c>
      <c r="J55" s="3" t="str">
        <f>IF(OR($F55=$F$123,$F55=$F$124,$F55=$F$125,$F55=$F$126,$F55=$F$127,$F55=$F$128),$F55,IF($F55=$F$82,INDEX($G$83:$J$101,MATCH(K55,$G$83:$G$101,-1),4),IF($F55=$L$82,INDEX($M$83:$T$97,MATCH(K55,$M$83:$M$97,-1),4),IF($F55=$F$106,INDEX($G$107:$J$116,MATCH(K55,$G$107:$G$116,-1),4),"CHECK THIS!!"))))</f>
        <v>BN-05</v>
      </c>
      <c r="K55" s="59">
        <v>4.2699999999999996</v>
      </c>
      <c r="L55" s="13">
        <f>E55*K55</f>
        <v>140.91</v>
      </c>
      <c r="M55" s="12">
        <f>IF(K55&gt;H55,L55-I55,0)</f>
        <v>50.16</v>
      </c>
      <c r="N55" s="13">
        <f>IF($F55=$F$82,VLOOKUP($J55,$F$83:$I$101,4,),IF($F55=$L$82,VLOOKUP($J55,$L$83:$O$97,4,),IF($F55=$F$106,VLOOKUP($J55,$F$107:$I$116,4,),MROUND($M55*INDEX($F$120:$I$128,MATCH($F55,$F$120:$F$128,0),3),INDEX($F$120:$I$128,MATCH($F55,$F$120:$F$128,0),4)))))</f>
        <v>3</v>
      </c>
      <c r="O55" s="13">
        <f>IF(OR(,$F55=$F$123,$F55=$F$124,$F55=$F$125,$F55=$F$126,$F55=$F$127,$F55=$F$128),$N55,IF(OR($F55=$F$82,$F55=$L$82,$F55=$F$106),N55*E55,"CHECK THIS!!"))</f>
        <v>99</v>
      </c>
      <c r="P55"/>
      <c r="Q55"/>
      <c r="R55"/>
      <c r="S55"/>
      <c r="T55"/>
      <c r="U55"/>
      <c r="V55" s="1"/>
      <c r="W55" s="1"/>
      <c r="X55" s="1"/>
    </row>
    <row r="56" spans="1:26" s="6" customFormat="1">
      <c r="A56" s="7" t="s">
        <v>9</v>
      </c>
      <c r="B56" s="7"/>
      <c r="C56" s="7"/>
      <c r="D56" s="7"/>
      <c r="E56" s="7"/>
      <c r="F56" s="7"/>
      <c r="G56" s="7"/>
      <c r="H56" s="14"/>
      <c r="I56" s="15">
        <f>SUM(I52:I55)</f>
        <v>745.65</v>
      </c>
      <c r="J56" s="16"/>
      <c r="K56" s="15"/>
      <c r="L56" s="15">
        <f>SUM(L52:L55)</f>
        <v>1037.71</v>
      </c>
      <c r="M56" s="15">
        <f>SUM(M52:M55)</f>
        <v>292.05999999999995</v>
      </c>
      <c r="N56" s="15"/>
      <c r="O56" s="15">
        <f>SUM(O52:O55)</f>
        <v>453</v>
      </c>
      <c r="P56" s="15"/>
      <c r="Q56" s="15"/>
      <c r="R56" s="15"/>
      <c r="S56" s="15"/>
      <c r="T56" s="7"/>
      <c r="U56" s="7"/>
      <c r="V56" s="7"/>
      <c r="W56" s="7"/>
      <c r="X56" s="7"/>
    </row>
    <row r="57" spans="1:26">
      <c r="A57" s="1"/>
      <c r="B57" s="1"/>
      <c r="C57" s="1"/>
      <c r="D57" s="1"/>
      <c r="E57" s="1"/>
      <c r="F57" s="1"/>
      <c r="G57" s="1"/>
      <c r="H57" s="1"/>
      <c r="I57" s="1"/>
      <c r="J57" s="1"/>
      <c r="K57" s="11"/>
      <c r="L57" s="11"/>
      <c r="M57" s="1"/>
      <c r="N57" s="11"/>
      <c r="O57" s="11"/>
      <c r="P57" s="11"/>
      <c r="Q57" s="11"/>
      <c r="R57" s="11"/>
      <c r="S57" s="11"/>
      <c r="T57" s="1"/>
      <c r="U57" s="1"/>
      <c r="V57" s="1"/>
      <c r="W57" s="1"/>
      <c r="X57" s="1"/>
    </row>
    <row r="58" spans="1:26" s="25" customFormat="1" ht="28" hidden="1" outlineLevel="1">
      <c r="A58" s="2" t="s">
        <v>76</v>
      </c>
      <c r="B58" s="2" t="str">
        <f>B$4</f>
        <v>Length (inches)</v>
      </c>
      <c r="C58" s="2" t="str">
        <f>C$4</f>
        <v>Height (inches)</v>
      </c>
      <c r="D58" s="2" t="str">
        <f>D$4</f>
        <v>Waste Factor</v>
      </c>
      <c r="E58" s="2" t="str">
        <f>E$4</f>
        <v>SF/Count</v>
      </c>
      <c r="F58" s="2" t="str">
        <f t="shared" ref="F58:X58" si="5">F$4</f>
        <v>Tile Type</v>
      </c>
      <c r="G58" s="2" t="str">
        <f t="shared" si="5"/>
        <v>Base Tile_x000D_Level</v>
      </c>
      <c r="H58" s="2" t="str">
        <f t="shared" si="5"/>
        <v>Base Tile_x000D_COST/SF</v>
      </c>
      <c r="I58" s="2" t="str">
        <f t="shared" si="5"/>
        <v>Base Tile_x000D_Total COST</v>
      </c>
      <c r="J58" s="2" t="str">
        <f t="shared" si="5"/>
        <v>Selected Tile_x000D_Level</v>
      </c>
      <c r="K58" s="2" t="str">
        <f t="shared" si="5"/>
        <v>Selected Tile_x000D_COST/SF</v>
      </c>
      <c r="L58" s="2" t="str">
        <f t="shared" si="5"/>
        <v>Selected Tile_x000D_Total COST</v>
      </c>
      <c r="M58" s="2" t="str">
        <f t="shared" si="5"/>
        <v>COST DIFF_x000D_(total compared)</v>
      </c>
      <c r="N58" s="2" t="str">
        <f t="shared" si="5"/>
        <v>Selected Tile_x000D_Price/SF</v>
      </c>
      <c r="O58" s="2" t="str">
        <f t="shared" si="5"/>
        <v>Selected Tile_x000D_Price Total</v>
      </c>
      <c r="P58" s="2" t="str">
        <f>P51</f>
        <v>Group</v>
      </c>
      <c r="Q58" s="2" t="str">
        <f t="shared" ref="Q58:S58" si="6">Q51</f>
        <v>Manufacturer</v>
      </c>
      <c r="R58" s="2" t="str">
        <f t="shared" si="6"/>
        <v>Style</v>
      </c>
      <c r="S58" s="2" t="str">
        <f t="shared" si="6"/>
        <v>Type</v>
      </c>
      <c r="T58" s="2" t="str">
        <f t="shared" si="5"/>
        <v>Dimension</v>
      </c>
      <c r="U58" s="2" t="str">
        <f t="shared" si="5"/>
        <v>Color</v>
      </c>
      <c r="V58" s="2" t="str">
        <f t="shared" si="5"/>
        <v>Grout</v>
      </c>
      <c r="W58" s="2" t="str">
        <f t="shared" si="5"/>
        <v>Pattern</v>
      </c>
      <c r="X58" s="2" t="str">
        <f t="shared" si="5"/>
        <v>Direction</v>
      </c>
    </row>
    <row r="59" spans="1:26" hidden="1" outlineLevel="1">
      <c r="A59" s="31" t="s">
        <v>77</v>
      </c>
      <c r="B59" s="31"/>
      <c r="C59" s="31"/>
      <c r="D59" s="31"/>
      <c r="E59" s="1">
        <v>0</v>
      </c>
      <c r="F59" s="27" t="s">
        <v>162</v>
      </c>
      <c r="G59" s="28" t="s">
        <v>156</v>
      </c>
      <c r="H59" s="12">
        <f>IF($F59=$F$82,INDEX($G$83:$J$101,MATCH($G59,$J$83:$J$101,-1),1),IF($F59=$L$82,INDEX($M$83:$T$97,MATCH($G59,$T$83:$T$97,-1),1),IF($F59=$F$106,INDEX($G$107:$J$116,MATCH($G59,$J$107:$J$116,-1),1),VLOOKUP($F59,$F$120:$I$128,2,FALSE))))</f>
        <v>5.55</v>
      </c>
      <c r="I59" s="13">
        <f>H59*E59</f>
        <v>0</v>
      </c>
      <c r="J59" s="3" t="str">
        <f>IF(OR($F59=$F$123,$F59=$F$124,$F59=$F$125,$F59=$F$126,$F59=$F$127,$F59=$F$128),$F59,IF($F59=$F$82,INDEX($G$83:$J$101,MATCH(K59,$G$83:$G$101,-1),4),IF($F59=$L$82,INDEX($M$83:$T$97,MATCH(K59,$M$83:$M$97,-1),4),IF($F59=$F$106,INDEX($G$107:$J$116,MATCH(K59,$G$107:$G$116,-1),4),"CHECK THIS!!"))))</f>
        <v>T-01</v>
      </c>
      <c r="K59" s="35">
        <v>0</v>
      </c>
      <c r="L59" s="13">
        <f>E59*K59</f>
        <v>0</v>
      </c>
      <c r="M59" s="12">
        <f>IF(K59&gt;H59,L59-I59,0)</f>
        <v>0</v>
      </c>
      <c r="N59" s="13">
        <f>IF($F59=$F$82,VLOOKUP($J59,$F$83:$I$101,4,),IF($F59=$L$82,VLOOKUP($J59,$L$83:$O$97,4,),IF($F59=$F$106,VLOOKUP($J59,$F$107:$I$116,4,),MROUND($M59*INDEX($F$120:$I$128,MATCH($F59,$F$120:$F$128,0),3),INDEX($F$120:$I$128,MATCH($F59,$F$120:$F$128,0),4)))))</f>
        <v>0</v>
      </c>
      <c r="O59" s="13">
        <f>IF(OR(,$F59=$F$123,$F59=$F$124,$F59=$F$125,$F59=$F$126,$F59=$F$127,$F59=$F$128),$N59,IF(OR($F59=$F$82,$F59=$L$82,$F59=$F$106),N59*E59,"CHECK THIS!!"))</f>
        <v>0</v>
      </c>
      <c r="P59"/>
      <c r="Q59"/>
      <c r="R59"/>
      <c r="S59"/>
      <c r="T59"/>
      <c r="U59"/>
      <c r="V59" s="1"/>
      <c r="W59" s="1"/>
      <c r="X59" s="1"/>
    </row>
    <row r="60" spans="1:26" hidden="1" outlineLevel="1">
      <c r="A60" s="31" t="s">
        <v>64</v>
      </c>
      <c r="B60" s="31"/>
      <c r="C60" s="31"/>
      <c r="D60" s="31"/>
      <c r="E60" s="1">
        <v>0</v>
      </c>
      <c r="F60" s="27" t="s">
        <v>162</v>
      </c>
      <c r="G60" s="28" t="s">
        <v>156</v>
      </c>
      <c r="H60" s="12">
        <f>IF($F60=$F$82,INDEX($G$83:$J$101,MATCH($G60,$J$83:$J$101,-1),1),IF($F60=$L$82,INDEX($M$83:$T$97,MATCH($G60,$T$83:$T$97,-1),1),IF($F60=$F$106,INDEX($G$107:$J$116,MATCH($G60,$J$107:$J$116,-1),1),VLOOKUP($F60,$F$120:$I$128,2,FALSE))))</f>
        <v>5.55</v>
      </c>
      <c r="I60" s="13">
        <f>H60*E60</f>
        <v>0</v>
      </c>
      <c r="J60" s="3" t="str">
        <f>IF(OR($F60=$F$123,$F60=$F$124,$F60=$F$125,$F60=$F$126,$F60=$F$127,$F60=$F$128),$F60,IF($F60=$F$82,INDEX($G$83:$J$101,MATCH(K60,$G$83:$G$101,-1),4),IF($F60=$L$82,INDEX($M$83:$T$97,MATCH(K60,$M$83:$M$97,-1),4),IF($F60=$F$106,INDEX($G$107:$J$116,MATCH(K60,$G$107:$G$116,-1),4),"CHECK THIS!!"))))</f>
        <v>T-01</v>
      </c>
      <c r="K60" s="35">
        <v>0</v>
      </c>
      <c r="L60" s="13">
        <f>E60*K60</f>
        <v>0</v>
      </c>
      <c r="M60" s="12">
        <f>IF(K60&gt;H60,L60-I60,0)</f>
        <v>0</v>
      </c>
      <c r="N60" s="13">
        <f>IF($F60=$F$82,VLOOKUP($J60,$F$83:$I$101,4,),IF($F60=$L$82,VLOOKUP($J60,$L$83:$O$97,4,),IF($F60=$F$106,VLOOKUP($J60,$F$107:$I$116,4,),MROUND($M60*INDEX($F$120:$I$128,MATCH($F60,$F$120:$F$128,0),3),INDEX($F$120:$I$128,MATCH($F60,$F$120:$F$128,0),4)))))</f>
        <v>0</v>
      </c>
      <c r="O60" s="13">
        <f>IF(OR(,$F60=$F$123,$F60=$F$124,$F60=$F$125,$F60=$F$126,$F60=$F$127,$F60=$F$128),$N60,IF(OR($F60=$F$82,$F60=$L$82,$F60=$F$106),N60*E60,"CHECK THIS!!"))</f>
        <v>0</v>
      </c>
      <c r="P60"/>
      <c r="Q60"/>
      <c r="R60"/>
      <c r="S60"/>
      <c r="T60"/>
      <c r="U60"/>
      <c r="V60" s="1"/>
      <c r="W60" s="1" t="s">
        <v>121</v>
      </c>
      <c r="X60" s="1" t="s">
        <v>125</v>
      </c>
    </row>
    <row r="61" spans="1:26" hidden="1" outlineLevel="1">
      <c r="A61" s="31" t="s">
        <v>133</v>
      </c>
      <c r="B61" s="31"/>
      <c r="C61" s="31"/>
      <c r="D61" s="31"/>
      <c r="E61" s="1">
        <v>0</v>
      </c>
      <c r="F61" s="27" t="s">
        <v>166</v>
      </c>
      <c r="G61" s="28" t="s">
        <v>156</v>
      </c>
      <c r="H61" s="12">
        <f>IF($F61=$F$82,INDEX($G$83:$J$101,MATCH($G61,$J$83:$J$101,-1),1),IF($F61=$L$82,INDEX($M$83:$T$97,MATCH($G61,$T$83:$T$97,-1),1),IF($F61=$F$106,INDEX($G$107:$J$116,MATCH($G61,$J$107:$J$116,-1),1),VLOOKUP($F61,$F$120:$I$128,2,FALSE))))</f>
        <v>0</v>
      </c>
      <c r="I61" s="13">
        <f>H61*E61</f>
        <v>0</v>
      </c>
      <c r="J61" s="3" t="str">
        <f>IF(OR($F61=$F$123,$F61=$F$124,$F61=$F$125,$F61=$F$126,$F61=$F$127,$F61=$F$128),$F61,IF($F61=$F$82,INDEX($G$83:$J$101,MATCH(K61,$G$83:$G$101,-1),4),IF($F61=$L$82,INDEX($M$83:$T$97,MATCH(K61,$M$83:$M$97,-1),4),IF($F61=$F$106,INDEX($G$107:$J$116,MATCH(K61,$G$107:$G$116,-1),4),"CHECK THIS!!"))))</f>
        <v>5-Pattern</v>
      </c>
      <c r="K61" s="35">
        <v>0</v>
      </c>
      <c r="L61" s="13">
        <f>E61*K61</f>
        <v>0</v>
      </c>
      <c r="M61" s="12">
        <f>IF(K61&gt;H61,L61-I61,0)</f>
        <v>0</v>
      </c>
      <c r="N61" s="13">
        <f>IF($F61=$F$82,VLOOKUP($J61,$F$83:$I$101,4,),IF($F61=$L$82,VLOOKUP($J61,$L$83:$O$97,4,),IF($F61=$F$106,VLOOKUP($J61,$F$107:$I$116,4,),MROUND($M61*INDEX($F$120:$I$128,MATCH($F61,$F$120:$F$128,0),3),INDEX($F$120:$I$128,MATCH($F61,$F$120:$F$128,0),4)))))</f>
        <v>0</v>
      </c>
      <c r="O61" s="13">
        <f>IF(OR(,$F61=$F$123,$F61=$F$124,$F61=$F$125,$F61=$F$126,$F61=$F$127,$F61=$F$128),$N61,IF(OR($F61=$F$82,$F61=$L$82,$F61=$F$106),N61*E61,"CHECK THIS!!"))</f>
        <v>0</v>
      </c>
      <c r="P61"/>
      <c r="Q61"/>
      <c r="R61"/>
      <c r="S61"/>
      <c r="T61"/>
      <c r="U61"/>
      <c r="V61" s="1"/>
      <c r="W61" s="1"/>
      <c r="X61" s="1"/>
    </row>
    <row r="62" spans="1:26" hidden="1" outlineLevel="1">
      <c r="A62" s="31" t="s">
        <v>73</v>
      </c>
      <c r="B62" s="31"/>
      <c r="C62" s="31"/>
      <c r="D62" s="31"/>
      <c r="E62" s="1">
        <v>0</v>
      </c>
      <c r="F62" s="27" t="s">
        <v>164</v>
      </c>
      <c r="G62" s="28" t="s">
        <v>102</v>
      </c>
      <c r="H62" s="12">
        <f>IF($F62=$F$82,INDEX($G$83:$J$101,MATCH($G62,$J$83:$J$101,-1),1),IF($F62=$L$82,INDEX($M$83:$T$97,MATCH($G62,$T$83:$T$97,-1),1),IF($F62=$F$106,INDEX($G$107:$J$116,MATCH($G62,$J$107:$J$116,-1),1),VLOOKUP($F62,$F$120:$I$128,2,FALSE))))</f>
        <v>2.75</v>
      </c>
      <c r="I62" s="13">
        <f>H62*E62</f>
        <v>0</v>
      </c>
      <c r="J62" s="3" t="str">
        <f>IF(OR($F62=$F$123,$F62=$F$124,$F62=$F$125,$F62=$F$126,$F62=$F$127,$F62=$F$128),$F62,IF($F62=$F$82,INDEX($G$83:$J$101,MATCH(K62,$G$83:$G$101,-1),4),IF($F62=$L$82,INDEX($M$83:$T$97,MATCH(K62,$M$83:$M$97,-1),4),IF($F62=$F$106,INDEX($G$107:$J$116,MATCH(K62,$G$107:$G$116,-1),4),"CHECK THIS!!"))))</f>
        <v>BN-02</v>
      </c>
      <c r="K62" s="59">
        <v>0</v>
      </c>
      <c r="L62" s="13">
        <f>E62*K62</f>
        <v>0</v>
      </c>
      <c r="M62" s="12">
        <f>IF(K62&gt;H62,L62-I62,0)</f>
        <v>0</v>
      </c>
      <c r="N62" s="13">
        <f>IF($F62=$F$82,VLOOKUP($J62,$F$83:$I$101,4,),IF($F62=$L$82,VLOOKUP($J62,$L$83:$O$97,4,),IF($F62=$F$106,VLOOKUP($J62,$F$107:$I$116,4,),MROUND($M62*INDEX($F$120:$I$128,MATCH($F62,$F$120:$F$128,0),3),INDEX($F$120:$I$128,MATCH($F62,$F$120:$F$128,0),4)))))</f>
        <v>0</v>
      </c>
      <c r="O62" s="13">
        <f>IF(OR(,$F62=$F$123,$F62=$F$124,$F62=$F$125,$F62=$F$126,$F62=$F$127,$F62=$F$128),$N62,IF(OR($F62=$F$82,$F62=$L$82,$F62=$F$106),N62*E62,"CHECK THIS!!"))</f>
        <v>0</v>
      </c>
      <c r="P62"/>
      <c r="Q62"/>
      <c r="R62"/>
      <c r="S62"/>
      <c r="T62"/>
      <c r="U62"/>
      <c r="V62" s="1"/>
      <c r="W62" s="1"/>
      <c r="X62" s="1"/>
    </row>
    <row r="63" spans="1:26" s="6" customFormat="1" hidden="1" outlineLevel="1">
      <c r="A63" s="7" t="s">
        <v>9</v>
      </c>
      <c r="B63" s="7"/>
      <c r="C63" s="7"/>
      <c r="D63" s="7"/>
      <c r="E63" s="7"/>
      <c r="F63" s="7"/>
      <c r="G63" s="7"/>
      <c r="H63" s="17"/>
      <c r="I63" s="17">
        <f>SUM(I59:I62)</f>
        <v>0</v>
      </c>
      <c r="J63" s="18"/>
      <c r="K63" s="15"/>
      <c r="L63" s="17">
        <f>SUM(L59:L62)</f>
        <v>0</v>
      </c>
      <c r="M63" s="17">
        <f>SUM(M59:M62)</f>
        <v>0</v>
      </c>
      <c r="N63" s="17"/>
      <c r="O63" s="17">
        <f>SUM(O59:O62)</f>
        <v>0</v>
      </c>
      <c r="P63" s="17"/>
      <c r="Q63" s="17"/>
      <c r="R63" s="17"/>
      <c r="S63" s="17"/>
      <c r="T63" s="7"/>
      <c r="U63" s="7"/>
      <c r="V63" s="7"/>
      <c r="W63" s="7"/>
      <c r="X63" s="7"/>
    </row>
    <row r="64" spans="1:26" collapsed="1">
      <c r="A64" s="1"/>
      <c r="B64" s="1"/>
      <c r="C64" s="1"/>
      <c r="D64" s="1"/>
      <c r="E64" s="1"/>
      <c r="F64" s="1"/>
      <c r="G64" s="1"/>
      <c r="H64" s="1"/>
      <c r="I64" s="1"/>
      <c r="J64" s="1"/>
      <c r="K64" s="11"/>
      <c r="L64" s="11"/>
      <c r="M64" s="1"/>
      <c r="N64" s="11"/>
      <c r="O64" s="11"/>
      <c r="P64" s="11"/>
      <c r="Q64" s="11"/>
      <c r="R64" s="11"/>
      <c r="S64" s="11"/>
      <c r="T64" s="1"/>
      <c r="U64" s="1"/>
      <c r="V64" s="1"/>
      <c r="W64" s="1"/>
      <c r="X64" s="1"/>
    </row>
    <row r="65" spans="1:24" s="25" customFormat="1" ht="28">
      <c r="A65" s="2" t="s">
        <v>101</v>
      </c>
      <c r="B65" s="2" t="str">
        <f>B$4</f>
        <v>Length (inches)</v>
      </c>
      <c r="C65" s="2" t="str">
        <f>C$4</f>
        <v>Height (inches)</v>
      </c>
      <c r="D65" s="2" t="str">
        <f>D$4</f>
        <v>Waste Factor</v>
      </c>
      <c r="E65" s="2" t="str">
        <f>E$4</f>
        <v>SF/Count</v>
      </c>
      <c r="F65" s="2" t="str">
        <f t="shared" ref="F65:X65" si="7">F$4</f>
        <v>Tile Type</v>
      </c>
      <c r="G65" s="2" t="str">
        <f t="shared" si="7"/>
        <v>Base Tile_x000D_Level</v>
      </c>
      <c r="H65" s="2" t="str">
        <f t="shared" si="7"/>
        <v>Base Tile_x000D_COST/SF</v>
      </c>
      <c r="I65" s="2" t="str">
        <f t="shared" si="7"/>
        <v>Base Tile_x000D_Total COST</v>
      </c>
      <c r="J65" s="2" t="str">
        <f t="shared" si="7"/>
        <v>Selected Tile_x000D_Level</v>
      </c>
      <c r="K65" s="2" t="str">
        <f t="shared" si="7"/>
        <v>Selected Tile_x000D_COST/SF</v>
      </c>
      <c r="L65" s="2" t="str">
        <f t="shared" si="7"/>
        <v>Selected Tile_x000D_Total COST</v>
      </c>
      <c r="M65" s="2" t="str">
        <f t="shared" si="7"/>
        <v>COST DIFF_x000D_(total compared)</v>
      </c>
      <c r="N65" s="2" t="str">
        <f t="shared" si="7"/>
        <v>Selected Tile_x000D_Price/SF</v>
      </c>
      <c r="O65" s="2" t="str">
        <f t="shared" si="7"/>
        <v>Selected Tile_x000D_Price Total</v>
      </c>
      <c r="P65" s="2" t="str">
        <f t="shared" si="7"/>
        <v>Group</v>
      </c>
      <c r="Q65" s="2" t="str">
        <f t="shared" si="7"/>
        <v>Manufacturer</v>
      </c>
      <c r="R65" s="2" t="str">
        <f t="shared" si="7"/>
        <v>Style</v>
      </c>
      <c r="S65" s="2" t="str">
        <f t="shared" si="7"/>
        <v>Type</v>
      </c>
      <c r="T65" s="2" t="str">
        <f t="shared" si="7"/>
        <v>Dimension</v>
      </c>
      <c r="U65" s="2" t="str">
        <f t="shared" si="7"/>
        <v>Color</v>
      </c>
      <c r="V65" s="2" t="str">
        <f t="shared" si="7"/>
        <v>Grout</v>
      </c>
      <c r="W65" s="2" t="str">
        <f t="shared" si="7"/>
        <v>Pattern</v>
      </c>
      <c r="X65" s="2" t="str">
        <f t="shared" si="7"/>
        <v>Direction</v>
      </c>
    </row>
    <row r="66" spans="1:24" hidden="1" outlineLevel="2">
      <c r="A66" s="31" t="s">
        <v>172</v>
      </c>
      <c r="B66" s="31">
        <f>13*12</f>
        <v>156</v>
      </c>
      <c r="C66" s="31">
        <v>18</v>
      </c>
      <c r="D66" s="31">
        <v>1.2</v>
      </c>
      <c r="E66" s="3">
        <v>0</v>
      </c>
      <c r="F66" s="27" t="s">
        <v>175</v>
      </c>
      <c r="G66" s="28" t="s">
        <v>156</v>
      </c>
      <c r="H66" s="12">
        <f>IF($F66=$F$82,INDEX($G$83:$J$101,MATCH($G66,$J$83:$J$101,-1),1),IF($F66=$L$82,INDEX($M$83:$T$97,MATCH($G66,$T$83:$T$97,-1),1),IF($F66=$F$106,INDEX($G$107:$J$116,MATCH($G66,$J$107:$J$116,-1),1),VLOOKUP($F66,$F$120:$I$128,2,FALSE))))</f>
        <v>8.75</v>
      </c>
      <c r="I66" s="13">
        <f>H66*E66</f>
        <v>0</v>
      </c>
      <c r="J66" s="3" t="str">
        <f>IF(OR($F66=$F$123,$F66=$F$124,$F66=$F$125,$F66=$F$126,$F66=$F$127,$F66=$F$128),$F66,IF($F66=$F$82,INDEX($G$83:$J$101,MATCH(K66,$G$83:$G$101,-1),4),IF($F66=$L$82,INDEX($M$83:$T$97,MATCH(K66,$M$83:$M$97,-1),4),IF($F66=$F$106,INDEX($G$107:$J$116,MATCH(K66,$G$107:$G$116,-1),4),"CHECK THIS!!"))))</f>
        <v>9-Contract</v>
      </c>
      <c r="K66" s="35">
        <v>0</v>
      </c>
      <c r="L66" s="13">
        <f>E66*K66</f>
        <v>0</v>
      </c>
      <c r="M66" s="12">
        <f>IF(K66&gt;H66,L66-I66,0)</f>
        <v>0</v>
      </c>
      <c r="N66" s="13">
        <f>IF($F66=$F$82,VLOOKUP($J66,$F$83:$I$101,4,),IF($F66=$L$82,VLOOKUP($J66,$L$83:$O$97,4,),IF($F66=$F$106,VLOOKUP($J66,$F$107:$I$116,4,),MROUND($M66*INDEX($F$120:$I$128,MATCH($F66,$F$120:$F$128,0),3),INDEX($F$120:$I$128,MATCH($F66,$F$120:$F$128,0),4)))))</f>
        <v>0</v>
      </c>
      <c r="O66" s="13">
        <f>IF(OR(,$F66=$F$123,$F66=$F$124,$F66=$F$125,$F66=$F$126,$F66=$F$127,$F66=$F$128),$N66,IF(OR($F66=$F$82,$F66=$L$82,$F66=$F$106),N66*E66,"CHECK THIS!!"))</f>
        <v>0</v>
      </c>
      <c r="P66"/>
      <c r="Q66"/>
      <c r="R66"/>
      <c r="S66"/>
      <c r="T66"/>
      <c r="U66"/>
      <c r="V66" s="1" t="s">
        <v>136</v>
      </c>
      <c r="W66" s="1" t="s">
        <v>0</v>
      </c>
      <c r="X66" s="1" t="s">
        <v>125</v>
      </c>
    </row>
    <row r="67" spans="1:24" hidden="1" outlineLevel="2">
      <c r="A67" s="31"/>
      <c r="B67" s="31"/>
      <c r="C67" s="31"/>
      <c r="D67" s="31"/>
      <c r="E67" s="1"/>
      <c r="F67" s="27"/>
      <c r="G67" s="28"/>
      <c r="H67" s="12"/>
      <c r="I67" s="13"/>
      <c r="J67" s="3"/>
      <c r="K67" s="35"/>
      <c r="L67" s="13"/>
      <c r="M67" s="12"/>
      <c r="N67" s="13"/>
      <c r="O67" s="13"/>
      <c r="P67" s="13"/>
      <c r="Q67" s="13"/>
      <c r="R67" s="13"/>
      <c r="S67" s="13"/>
      <c r="T67" s="1"/>
      <c r="U67" s="1"/>
      <c r="V67" s="1"/>
      <c r="W67" s="1"/>
      <c r="X67" s="1"/>
    </row>
    <row r="68" spans="1:24" hidden="1" outlineLevel="2">
      <c r="A68" s="31" t="s">
        <v>31</v>
      </c>
      <c r="B68" s="31"/>
      <c r="C68" s="31"/>
      <c r="D68" s="31"/>
      <c r="E68" s="1">
        <v>0</v>
      </c>
      <c r="F68" s="27" t="s">
        <v>162</v>
      </c>
      <c r="G68" s="28" t="s">
        <v>156</v>
      </c>
      <c r="H68" s="12">
        <f>IF($F68=$F$82,INDEX($G$83:$J$101,MATCH($G68,$J$83:$J$101,-1),1),IF($F68=$L$82,INDEX($M$83:$T$97,MATCH($G68,$T$83:$T$97,-1),1),IF($F68=$F$106,INDEX($G$107:$J$116,MATCH($G68,$J$107:$J$116,-1),1),VLOOKUP($F68,$F$120:$I$128,2,FALSE))))</f>
        <v>5.55</v>
      </c>
      <c r="I68" s="13">
        <f>H68*E68</f>
        <v>0</v>
      </c>
      <c r="J68" s="3" t="str">
        <f>IF(OR($F68=$F$123,$F68=$F$124,$F68=$F$125,$F68=$F$126,$F68=$F$127,$F68=$F$128),$F68,IF($F68=$F$82,INDEX($G$83:$J$101,MATCH(K68,$G$83:$G$101,-1),4),IF($F68=$L$82,INDEX($M$83:$T$97,MATCH(K68,$M$83:$M$97,-1),4),IF($F68=$F$106,INDEX($G$107:$J$116,MATCH(K68,$G$107:$G$116,-1),4),"CHECK THIS!!"))))</f>
        <v>T-01</v>
      </c>
      <c r="K68" s="35">
        <v>0</v>
      </c>
      <c r="L68" s="13">
        <f>E68*K68</f>
        <v>0</v>
      </c>
      <c r="M68" s="12">
        <f>IF(K68&gt;H68,L68-I68,0)</f>
        <v>0</v>
      </c>
      <c r="N68" s="13">
        <f>IF($F68=$F$82,VLOOKUP($J68,$F$83:$I$101,4,),IF($F68=$L$82,VLOOKUP($J68,$L$83:$O$97,4,),IF($F68=$F$106,VLOOKUP($J68,$F$107:$I$116,4,),MROUND($M68*INDEX($F$120:$I$128,MATCH($F68,$F$120:$F$128,0),3),INDEX($F$120:$I$128,MATCH($F68,$F$120:$F$128,0),4)))))</f>
        <v>0</v>
      </c>
      <c r="O68" s="13">
        <f>IF(OR(,$F68=$F$123,$F68=$F$124,$F68=$F$125,$F68=$F$126,$F68=$F$127,$F68=$F$128),$N68,IF(OR($F68=$F$82,$F68=$L$82,$F68=$F$106),N68*E68,"CHECK THIS!!"))</f>
        <v>0</v>
      </c>
      <c r="P68"/>
      <c r="Q68"/>
      <c r="R68"/>
      <c r="S68"/>
      <c r="T68"/>
      <c r="U68"/>
      <c r="V68" s="1" t="s">
        <v>123</v>
      </c>
      <c r="W68" s="1" t="s">
        <v>121</v>
      </c>
      <c r="X68" s="1" t="s">
        <v>126</v>
      </c>
    </row>
    <row r="69" spans="1:24" hidden="1" outlineLevel="2">
      <c r="A69" s="31"/>
      <c r="B69" s="31"/>
      <c r="C69" s="31"/>
      <c r="D69" s="31"/>
      <c r="E69" s="1"/>
      <c r="F69" s="27"/>
      <c r="G69" s="28"/>
      <c r="H69" s="12"/>
      <c r="I69" s="13"/>
      <c r="J69" s="3"/>
      <c r="K69" s="35"/>
      <c r="L69" s="13"/>
      <c r="M69" s="12"/>
      <c r="N69" s="13"/>
      <c r="O69" s="13"/>
      <c r="P69" s="13"/>
      <c r="Q69" s="13"/>
      <c r="R69" s="13"/>
      <c r="S69" s="13"/>
      <c r="T69" s="1"/>
      <c r="U69" s="1"/>
      <c r="V69" s="1"/>
      <c r="W69" s="1"/>
      <c r="X69" s="1"/>
    </row>
    <row r="70" spans="1:24" collapsed="1">
      <c r="A70" s="31" t="s">
        <v>176</v>
      </c>
      <c r="B70" s="31"/>
      <c r="C70" s="31"/>
      <c r="D70" s="31"/>
      <c r="E70" s="1">
        <v>110</v>
      </c>
      <c r="F70" s="27" t="s">
        <v>162</v>
      </c>
      <c r="G70" s="28" t="s">
        <v>156</v>
      </c>
      <c r="H70" s="12">
        <f>IF($F70=$F$82,INDEX($G$83:$J$101,MATCH($G70,$J$83:$J$101,-1),1),IF($F70=$L$82,INDEX($M$83:$T$97,MATCH($G70,$T$83:$T$97,-1),1),IF($F70=$F$106,INDEX($G$107:$J$116,MATCH($G70,$J$107:$J$116,-1),1),VLOOKUP($F70,$F$120:$I$128,2,FALSE))))</f>
        <v>5.55</v>
      </c>
      <c r="I70" s="13">
        <f>H70*E70</f>
        <v>610.5</v>
      </c>
      <c r="J70" s="3" t="str">
        <f>IF(OR($F70=$F$123,$F70=$F$124,$F70=$F$125,$F70=$F$126,$F70=$F$127,$F70=$F$128),$F70,IF($F70=$F$82,INDEX($G$83:$J$101,MATCH(K70,$G$83:$G$101,-1),4),IF($F70=$L$82,INDEX($M$83:$T$97,MATCH(K70,$M$83:$M$97,-1),4),IF($F70=$F$106,INDEX($G$107:$J$116,MATCH(K70,$G$107:$G$116,-1),4),"CHECK THIS!!"))))</f>
        <v>T-04</v>
      </c>
      <c r="K70" s="35">
        <v>7.6</v>
      </c>
      <c r="L70" s="13">
        <f>E70*K70</f>
        <v>836</v>
      </c>
      <c r="M70" s="12">
        <f>IF(K70&gt;H70,L70-I70,0)</f>
        <v>225.5</v>
      </c>
      <c r="N70" s="13">
        <f>IF($F70=$F$82,VLOOKUP($J70,$F$83:$I$101,4,),IF($F70=$L$82,VLOOKUP($J70,$L$83:$O$97,4,),IF($F70=$F$106,VLOOKUP($J70,$F$107:$I$116,4,),MROUND($M70*INDEX($F$120:$I$128,MATCH($F70,$F$120:$F$128,0),3),INDEX($F$120:$I$128,MATCH($F70,$F$120:$F$128,0),4)))))</f>
        <v>3</v>
      </c>
      <c r="O70" s="13">
        <f>IF(OR(,$F70=$F$123,$F70=$F$124,$F70=$F$125,$F70=$F$126,$F70=$F$127,$F70=$F$128),$N70,IF(OR($F70=$F$82,$F70=$L$82,$F70=$F$106),N70*E70,"CHECK THIS!!"))</f>
        <v>330</v>
      </c>
      <c r="P70"/>
      <c r="Q70"/>
      <c r="R70"/>
      <c r="S70"/>
      <c r="T70"/>
      <c r="U70"/>
      <c r="V70" s="1"/>
      <c r="W70" s="1" t="s">
        <v>121</v>
      </c>
      <c r="X70" s="1" t="s">
        <v>126</v>
      </c>
    </row>
    <row r="71" spans="1:24" s="6" customFormat="1">
      <c r="A71" s="7" t="s">
        <v>9</v>
      </c>
      <c r="B71" s="7"/>
      <c r="C71" s="7"/>
      <c r="D71" s="7"/>
      <c r="E71" s="7"/>
      <c r="F71" s="7"/>
      <c r="G71" s="7"/>
      <c r="H71" s="17"/>
      <c r="I71" s="17">
        <f>SUM(I66:I70)</f>
        <v>610.5</v>
      </c>
      <c r="J71" s="18"/>
      <c r="K71" s="15"/>
      <c r="L71" s="17">
        <f>SUM(L66:L70)</f>
        <v>836</v>
      </c>
      <c r="M71" s="17">
        <f>SUM(M66:M70)</f>
        <v>225.5</v>
      </c>
      <c r="N71" s="17"/>
      <c r="O71" s="17">
        <f>SUM(O66:O70)</f>
        <v>330</v>
      </c>
      <c r="P71" s="17"/>
      <c r="Q71" s="17"/>
      <c r="R71" s="17"/>
      <c r="S71" s="17"/>
      <c r="T71" s="7"/>
      <c r="U71" s="7"/>
      <c r="V71" s="7"/>
      <c r="W71" s="7"/>
      <c r="X71" s="7"/>
    </row>
    <row r="72" spans="1:24" s="6" customFormat="1">
      <c r="A72" s="8"/>
      <c r="B72" s="8"/>
      <c r="C72" s="8"/>
      <c r="D72" s="8"/>
      <c r="E72" s="8"/>
      <c r="F72" s="8"/>
      <c r="G72" s="8"/>
      <c r="H72" s="43"/>
      <c r="I72" s="43"/>
      <c r="J72" s="44"/>
      <c r="K72" s="45"/>
      <c r="L72" s="43"/>
      <c r="M72" s="43"/>
      <c r="N72" s="43"/>
      <c r="O72" s="43"/>
      <c r="P72" s="43"/>
      <c r="Q72" s="43"/>
      <c r="R72" s="43"/>
      <c r="S72" s="43"/>
      <c r="T72" s="8"/>
      <c r="U72" s="8"/>
      <c r="V72" s="8"/>
      <c r="W72" s="8"/>
      <c r="X72" s="8"/>
    </row>
    <row r="73" spans="1:24">
      <c r="A73" s="46" t="s">
        <v>159</v>
      </c>
      <c r="B73" s="47"/>
      <c r="C73" s="47"/>
      <c r="D73" s="47"/>
      <c r="E73" s="47"/>
      <c r="F73" s="47"/>
      <c r="G73" s="47"/>
      <c r="H73" s="47"/>
      <c r="I73" s="47"/>
      <c r="J73" s="47"/>
      <c r="K73" s="48"/>
      <c r="L73" s="48"/>
      <c r="M73" s="47"/>
      <c r="N73" s="48"/>
      <c r="O73" s="49">
        <v>0</v>
      </c>
      <c r="P73" s="49"/>
      <c r="Q73" s="49"/>
      <c r="R73" s="49"/>
      <c r="S73" s="49"/>
      <c r="T73" s="47" t="s">
        <v>158</v>
      </c>
      <c r="U73" s="47"/>
      <c r="V73" s="47"/>
      <c r="W73" s="47"/>
      <c r="X73" s="47"/>
    </row>
    <row r="74" spans="1:24" s="6" customFormat="1" ht="30" customHeight="1" thickBot="1">
      <c r="A74" s="37" t="s">
        <v>8</v>
      </c>
      <c r="B74" s="37"/>
      <c r="C74" s="37"/>
      <c r="D74" s="37"/>
      <c r="E74" s="37"/>
      <c r="F74" s="37"/>
      <c r="G74" s="37"/>
      <c r="H74" s="38"/>
      <c r="I74" s="38">
        <f>SUM(I12+I71+I63+I49+I42+I56+I35+I27)</f>
        <v>5805.95</v>
      </c>
      <c r="J74" s="39"/>
      <c r="K74" s="40"/>
      <c r="L74" s="38">
        <f>SUM(L12+L71+L63+L49+L42+L56+L35+L27)</f>
        <v>8918.27</v>
      </c>
      <c r="M74" s="38">
        <f>SUM(M12+M71+M63+M49+M42+M56+M35+M27)</f>
        <v>3112.3199999999997</v>
      </c>
      <c r="N74" s="38"/>
      <c r="O74" s="38">
        <f>SUM(O73+O12+O71+O63+O49+O42+O56+O35+O27)</f>
        <v>4541.5</v>
      </c>
      <c r="P74" s="38"/>
      <c r="Q74" s="38"/>
      <c r="R74" s="38"/>
      <c r="S74" s="38"/>
      <c r="T74" s="41"/>
      <c r="U74" s="41"/>
      <c r="V74" s="41"/>
      <c r="W74" s="41"/>
      <c r="X74" s="42" t="s">
        <v>26</v>
      </c>
    </row>
    <row r="75" spans="1:24" ht="23" customHeight="1" thickTop="1">
      <c r="T75" s="26" t="s">
        <v>25</v>
      </c>
      <c r="U75" s="26"/>
      <c r="V75" s="26"/>
      <c r="W75" s="26"/>
      <c r="X75" s="26" t="s">
        <v>25</v>
      </c>
    </row>
    <row r="76" spans="1:24" ht="20" customHeight="1">
      <c r="T76" s="26" t="s">
        <v>27</v>
      </c>
      <c r="U76" s="26"/>
      <c r="V76" s="26"/>
      <c r="W76" s="26"/>
      <c r="X76" s="26" t="s">
        <v>27</v>
      </c>
    </row>
    <row r="77" spans="1:24" s="5" customFormat="1">
      <c r="K77" s="19"/>
      <c r="L77" s="19"/>
      <c r="N77" s="19"/>
      <c r="O77" s="19"/>
      <c r="P77" s="19"/>
      <c r="Q77" s="19"/>
      <c r="R77" s="19"/>
      <c r="S77" s="19"/>
    </row>
    <row r="78" spans="1:24" s="5" customFormat="1" hidden="1" outlineLevel="1">
      <c r="F78" s="22"/>
      <c r="G78" s="22" t="s">
        <v>4</v>
      </c>
      <c r="H78" s="23">
        <v>0.5</v>
      </c>
      <c r="I78" s="22"/>
      <c r="J78" s="22"/>
      <c r="K78" s="19"/>
      <c r="L78" s="22"/>
      <c r="M78" s="22" t="s">
        <v>4</v>
      </c>
      <c r="N78" s="23">
        <v>0.5</v>
      </c>
      <c r="O78" s="22"/>
      <c r="P78" s="22"/>
      <c r="Q78" s="22"/>
      <c r="R78" s="22"/>
      <c r="S78" s="22"/>
      <c r="T78" s="22"/>
      <c r="U78" s="22"/>
      <c r="V78" s="22"/>
      <c r="W78" s="22"/>
      <c r="X78" s="22"/>
    </row>
    <row r="79" spans="1:24" s="5" customFormat="1" ht="28" hidden="1" outlineLevel="1">
      <c r="F79" s="22"/>
      <c r="G79" s="29" t="s">
        <v>32</v>
      </c>
      <c r="H79" s="24">
        <v>1.5</v>
      </c>
      <c r="I79" s="22"/>
      <c r="J79" s="22"/>
      <c r="K79" s="19"/>
      <c r="L79" s="22"/>
      <c r="M79" s="29" t="s">
        <v>32</v>
      </c>
      <c r="N79" s="24">
        <v>1.5</v>
      </c>
      <c r="O79" s="22"/>
      <c r="P79" s="22"/>
      <c r="Q79" s="22"/>
      <c r="R79" s="22"/>
      <c r="S79" s="22"/>
      <c r="T79" s="22"/>
      <c r="U79" s="22"/>
      <c r="V79" s="22"/>
      <c r="W79" s="22"/>
      <c r="X79" s="22"/>
    </row>
    <row r="80" spans="1:24" s="5" customFormat="1" ht="28" hidden="1" outlineLevel="1">
      <c r="F80" s="22"/>
      <c r="G80" s="29" t="s">
        <v>33</v>
      </c>
      <c r="H80" s="24">
        <v>1.3</v>
      </c>
      <c r="I80" s="22"/>
      <c r="J80" s="22"/>
      <c r="K80" s="19"/>
      <c r="L80" s="22"/>
      <c r="M80" s="29" t="s">
        <v>33</v>
      </c>
      <c r="N80" s="24">
        <v>1.35</v>
      </c>
      <c r="O80" s="22"/>
      <c r="P80" s="22"/>
      <c r="Q80" s="22"/>
      <c r="R80" s="22"/>
      <c r="S80" s="22"/>
      <c r="T80" s="22"/>
      <c r="U80" s="22"/>
      <c r="V80" s="22"/>
      <c r="W80" s="22"/>
      <c r="X80" s="22"/>
    </row>
    <row r="81" spans="6:24" s="5" customFormat="1" hidden="1" outlineLevel="1">
      <c r="F81" s="22"/>
      <c r="G81" s="29" t="s">
        <v>34</v>
      </c>
      <c r="H81" s="23">
        <v>25</v>
      </c>
      <c r="I81" s="22"/>
      <c r="J81" s="22"/>
      <c r="K81" s="19"/>
      <c r="L81" s="22"/>
      <c r="M81" s="29" t="s">
        <v>34</v>
      </c>
      <c r="N81" s="23">
        <v>16</v>
      </c>
      <c r="O81" s="22"/>
      <c r="P81" s="22"/>
      <c r="Q81" s="22"/>
      <c r="R81" s="22"/>
      <c r="S81" s="22"/>
      <c r="T81" s="22"/>
      <c r="U81" s="22"/>
      <c r="V81" s="22"/>
      <c r="W81" s="22"/>
      <c r="X81" s="22"/>
    </row>
    <row r="82" spans="6:24" s="5" customFormat="1" ht="28" hidden="1" outlineLevel="1">
      <c r="F82" s="2" t="s">
        <v>162</v>
      </c>
      <c r="G82" s="2" t="s">
        <v>7</v>
      </c>
      <c r="H82" s="2" t="s">
        <v>6</v>
      </c>
      <c r="I82" s="2" t="s">
        <v>5</v>
      </c>
      <c r="J82" s="2" t="str">
        <f t="shared" ref="J82:J88" si="8">F82</f>
        <v>1-Field Tile</v>
      </c>
      <c r="K82" s="19"/>
      <c r="L82" s="2" t="s">
        <v>163</v>
      </c>
      <c r="M82" s="2" t="s">
        <v>7</v>
      </c>
      <c r="N82" s="2" t="s">
        <v>6</v>
      </c>
      <c r="O82" s="2" t="s">
        <v>5</v>
      </c>
      <c r="P82" s="2"/>
      <c r="Q82" s="2"/>
      <c r="R82" s="2"/>
      <c r="S82" s="2"/>
      <c r="T82" s="2" t="str">
        <f t="shared" ref="T82:T97" si="9">L82</f>
        <v>2-Field Tile L2</v>
      </c>
      <c r="U82" s="2"/>
      <c r="V82" s="2"/>
      <c r="W82" s="2"/>
      <c r="X82" s="2"/>
    </row>
    <row r="83" spans="6:24" s="5" customFormat="1" hidden="1" outlineLevel="1">
      <c r="F83" s="5" t="s">
        <v>157</v>
      </c>
      <c r="G83" s="21">
        <v>60</v>
      </c>
      <c r="H83" s="21">
        <f t="shared" ref="H83:H96" si="10">IF(G83&lt;=H$81,MROUND(G83*H$79,H$78),MROUND(G83*H$80,H$78))</f>
        <v>78</v>
      </c>
      <c r="I83" s="21">
        <f t="shared" ref="I83:I100" si="11">H83-H$101</f>
        <v>69.5</v>
      </c>
      <c r="J83" s="5" t="str">
        <f t="shared" si="8"/>
        <v>T-19</v>
      </c>
      <c r="K83" s="19"/>
      <c r="L83" s="5" t="s">
        <v>86</v>
      </c>
      <c r="M83" s="21">
        <v>50</v>
      </c>
      <c r="N83" s="21">
        <f t="shared" ref="N83:N97" si="12">IF(M83&lt;=N$81,MROUND(M83*N$79,N$78),MROUND(M83*N$80,N$78))</f>
        <v>67.5</v>
      </c>
      <c r="O83" s="21">
        <f t="shared" ref="O83:O96" si="13">N83-N$97</f>
        <v>58</v>
      </c>
      <c r="P83" s="21"/>
      <c r="Q83" s="21"/>
      <c r="R83" s="21"/>
      <c r="S83" s="21"/>
      <c r="T83" s="5" t="str">
        <f t="shared" si="9"/>
        <v>FT2-15</v>
      </c>
    </row>
    <row r="84" spans="6:24" s="5" customFormat="1" hidden="1" outlineLevel="1">
      <c r="F84" s="5" t="s">
        <v>139</v>
      </c>
      <c r="G84" s="21">
        <v>52.25</v>
      </c>
      <c r="H84" s="21">
        <f t="shared" si="10"/>
        <v>68</v>
      </c>
      <c r="I84" s="21">
        <f t="shared" si="11"/>
        <v>59.5</v>
      </c>
      <c r="J84" s="5" t="str">
        <f t="shared" si="8"/>
        <v>T-18</v>
      </c>
      <c r="K84" s="19"/>
      <c r="L84" s="5" t="s">
        <v>86</v>
      </c>
      <c r="M84" s="21">
        <v>50</v>
      </c>
      <c r="N84" s="21">
        <f t="shared" si="12"/>
        <v>67.5</v>
      </c>
      <c r="O84" s="21">
        <f t="shared" si="13"/>
        <v>58</v>
      </c>
      <c r="P84" s="21"/>
      <c r="Q84" s="21"/>
      <c r="R84" s="21"/>
      <c r="S84" s="21"/>
      <c r="T84" s="5" t="str">
        <f t="shared" si="9"/>
        <v>FT2-15</v>
      </c>
    </row>
    <row r="85" spans="6:24" s="5" customFormat="1" hidden="1" outlineLevel="1">
      <c r="F85" s="5" t="s">
        <v>140</v>
      </c>
      <c r="G85" s="21">
        <v>43</v>
      </c>
      <c r="H85" s="21">
        <f t="shared" si="10"/>
        <v>56</v>
      </c>
      <c r="I85" s="21">
        <f t="shared" si="11"/>
        <v>47.5</v>
      </c>
      <c r="J85" s="5" t="str">
        <f t="shared" si="8"/>
        <v>T-17</v>
      </c>
      <c r="K85" s="19"/>
      <c r="L85" s="5" t="s">
        <v>87</v>
      </c>
      <c r="M85" s="21">
        <v>40</v>
      </c>
      <c r="N85" s="21">
        <f t="shared" si="12"/>
        <v>54</v>
      </c>
      <c r="O85" s="21">
        <f t="shared" si="13"/>
        <v>44.5</v>
      </c>
      <c r="P85" s="21"/>
      <c r="Q85" s="21"/>
      <c r="R85" s="21"/>
      <c r="S85" s="21"/>
      <c r="T85" s="5" t="str">
        <f t="shared" si="9"/>
        <v>FT2-14</v>
      </c>
    </row>
    <row r="86" spans="6:24" s="5" customFormat="1" hidden="1" outlineLevel="1">
      <c r="F86" s="5" t="s">
        <v>141</v>
      </c>
      <c r="G86" s="21">
        <v>39.75</v>
      </c>
      <c r="H86" s="21">
        <f t="shared" si="10"/>
        <v>51.5</v>
      </c>
      <c r="I86" s="21">
        <f t="shared" si="11"/>
        <v>43</v>
      </c>
      <c r="J86" s="5" t="str">
        <f t="shared" si="8"/>
        <v>T-16</v>
      </c>
      <c r="K86" s="19"/>
      <c r="L86" s="5" t="s">
        <v>88</v>
      </c>
      <c r="M86" s="21">
        <v>30</v>
      </c>
      <c r="N86" s="21">
        <f t="shared" si="12"/>
        <v>40.5</v>
      </c>
      <c r="O86" s="21">
        <f t="shared" si="13"/>
        <v>31</v>
      </c>
      <c r="P86" s="21"/>
      <c r="Q86" s="21"/>
      <c r="R86" s="21"/>
      <c r="S86" s="21"/>
      <c r="T86" s="5" t="str">
        <f t="shared" si="9"/>
        <v>FT2-13</v>
      </c>
    </row>
    <row r="87" spans="6:24" s="5" customFormat="1" hidden="1" outlineLevel="1">
      <c r="F87" s="5" t="s">
        <v>142</v>
      </c>
      <c r="G87" s="21">
        <v>35</v>
      </c>
      <c r="H87" s="21">
        <f t="shared" si="10"/>
        <v>45.5</v>
      </c>
      <c r="I87" s="21">
        <f t="shared" si="11"/>
        <v>37</v>
      </c>
      <c r="J87" s="5" t="str">
        <f t="shared" si="8"/>
        <v>T-15</v>
      </c>
      <c r="K87" s="19"/>
      <c r="L87" s="5" t="s">
        <v>89</v>
      </c>
      <c r="M87" s="21">
        <v>25</v>
      </c>
      <c r="N87" s="21">
        <f t="shared" si="12"/>
        <v>34</v>
      </c>
      <c r="O87" s="21">
        <f t="shared" si="13"/>
        <v>24.5</v>
      </c>
      <c r="P87" s="21"/>
      <c r="Q87" s="21"/>
      <c r="R87" s="21"/>
      <c r="S87" s="21"/>
      <c r="T87" s="5" t="str">
        <f t="shared" si="9"/>
        <v>FT2-12</v>
      </c>
    </row>
    <row r="88" spans="6:24" s="5" customFormat="1" hidden="1" outlineLevel="1">
      <c r="F88" s="5" t="s">
        <v>143</v>
      </c>
      <c r="G88" s="21">
        <v>31</v>
      </c>
      <c r="H88" s="21">
        <f t="shared" si="10"/>
        <v>40.5</v>
      </c>
      <c r="I88" s="21">
        <f t="shared" si="11"/>
        <v>32</v>
      </c>
      <c r="J88" s="5" t="str">
        <f t="shared" si="8"/>
        <v>T-14</v>
      </c>
      <c r="K88" s="19"/>
      <c r="L88" s="5" t="s">
        <v>90</v>
      </c>
      <c r="M88" s="21">
        <v>22</v>
      </c>
      <c r="N88" s="21">
        <f t="shared" si="12"/>
        <v>29.5</v>
      </c>
      <c r="O88" s="21">
        <f t="shared" si="13"/>
        <v>20</v>
      </c>
      <c r="P88" s="21"/>
      <c r="Q88" s="21"/>
      <c r="R88" s="21"/>
      <c r="S88" s="21"/>
      <c r="T88" s="5" t="str">
        <f t="shared" si="9"/>
        <v>FT2-11</v>
      </c>
    </row>
    <row r="89" spans="6:24" s="5" customFormat="1" hidden="1" outlineLevel="1">
      <c r="F89" s="5" t="s">
        <v>144</v>
      </c>
      <c r="G89" s="21">
        <v>27.5</v>
      </c>
      <c r="H89" s="21">
        <f t="shared" si="10"/>
        <v>36</v>
      </c>
      <c r="I89" s="21">
        <f t="shared" si="11"/>
        <v>27.5</v>
      </c>
      <c r="J89" s="5" t="str">
        <f t="shared" ref="J89:J97" si="14">F89</f>
        <v>T-13</v>
      </c>
      <c r="K89" s="19"/>
      <c r="L89" s="5" t="s">
        <v>91</v>
      </c>
      <c r="M89" s="21">
        <v>19</v>
      </c>
      <c r="N89" s="21">
        <f t="shared" si="12"/>
        <v>25.5</v>
      </c>
      <c r="O89" s="21">
        <f t="shared" si="13"/>
        <v>16</v>
      </c>
      <c r="P89" s="21"/>
      <c r="Q89" s="21"/>
      <c r="R89" s="21"/>
      <c r="S89" s="21"/>
      <c r="T89" s="5" t="str">
        <f t="shared" si="9"/>
        <v>FT2-10</v>
      </c>
    </row>
    <row r="90" spans="6:24" s="5" customFormat="1" hidden="1" outlineLevel="1">
      <c r="F90" s="5" t="s">
        <v>145</v>
      </c>
      <c r="G90" s="21">
        <v>21</v>
      </c>
      <c r="H90" s="21">
        <f t="shared" si="10"/>
        <v>31.5</v>
      </c>
      <c r="I90" s="21">
        <f t="shared" si="11"/>
        <v>23</v>
      </c>
      <c r="J90" s="5" t="str">
        <f t="shared" si="14"/>
        <v>T-12</v>
      </c>
      <c r="K90" s="19"/>
      <c r="L90" s="5" t="s">
        <v>111</v>
      </c>
      <c r="M90" s="21">
        <v>15.75</v>
      </c>
      <c r="N90" s="21">
        <f t="shared" si="12"/>
        <v>23.5</v>
      </c>
      <c r="O90" s="21">
        <f t="shared" si="13"/>
        <v>14</v>
      </c>
      <c r="P90" s="21"/>
      <c r="Q90" s="21"/>
      <c r="R90" s="21"/>
      <c r="S90" s="21"/>
      <c r="T90" s="5" t="str">
        <f t="shared" si="9"/>
        <v>FT2-09</v>
      </c>
    </row>
    <row r="91" spans="6:24" s="5" customFormat="1" hidden="1" outlineLevel="1">
      <c r="F91" s="5" t="s">
        <v>146</v>
      </c>
      <c r="G91" s="21">
        <v>18</v>
      </c>
      <c r="H91" s="21">
        <f t="shared" si="10"/>
        <v>27</v>
      </c>
      <c r="I91" s="21">
        <f t="shared" si="11"/>
        <v>18.5</v>
      </c>
      <c r="J91" s="5" t="str">
        <f t="shared" si="14"/>
        <v>T-11</v>
      </c>
      <c r="K91" s="19"/>
      <c r="L91" s="5" t="s">
        <v>112</v>
      </c>
      <c r="M91" s="21">
        <v>14</v>
      </c>
      <c r="N91" s="21">
        <f t="shared" si="12"/>
        <v>21</v>
      </c>
      <c r="O91" s="21">
        <f t="shared" si="13"/>
        <v>11.5</v>
      </c>
      <c r="P91" s="21"/>
      <c r="Q91" s="21"/>
      <c r="R91" s="21"/>
      <c r="S91" s="21"/>
      <c r="T91" s="5" t="str">
        <f t="shared" si="9"/>
        <v>FT2-08</v>
      </c>
    </row>
    <row r="92" spans="6:24" s="5" customFormat="1" hidden="1" outlineLevel="1">
      <c r="F92" s="5" t="s">
        <v>147</v>
      </c>
      <c r="G92" s="21">
        <v>14</v>
      </c>
      <c r="H92" s="21">
        <f t="shared" si="10"/>
        <v>21</v>
      </c>
      <c r="I92" s="21">
        <f t="shared" si="11"/>
        <v>12.5</v>
      </c>
      <c r="J92" s="5" t="str">
        <f t="shared" si="14"/>
        <v>T-10</v>
      </c>
      <c r="K92" s="19"/>
      <c r="L92" s="5" t="s">
        <v>113</v>
      </c>
      <c r="M92" s="21">
        <v>12.25</v>
      </c>
      <c r="N92" s="21">
        <f t="shared" si="12"/>
        <v>18.5</v>
      </c>
      <c r="O92" s="21">
        <f t="shared" si="13"/>
        <v>9</v>
      </c>
      <c r="P92" s="21"/>
      <c r="Q92" s="21"/>
      <c r="R92" s="21"/>
      <c r="S92" s="21"/>
      <c r="T92" s="5" t="str">
        <f t="shared" si="9"/>
        <v>FT2-07</v>
      </c>
    </row>
    <row r="93" spans="6:24" s="5" customFormat="1" hidden="1" outlineLevel="1">
      <c r="F93" s="5" t="s">
        <v>148</v>
      </c>
      <c r="G93" s="21">
        <v>12.75</v>
      </c>
      <c r="H93" s="21">
        <f t="shared" si="10"/>
        <v>19</v>
      </c>
      <c r="I93" s="21">
        <f t="shared" si="11"/>
        <v>10.5</v>
      </c>
      <c r="J93" s="5" t="str">
        <f t="shared" si="14"/>
        <v>T-09</v>
      </c>
      <c r="K93" s="19"/>
      <c r="L93" s="5" t="s">
        <v>114</v>
      </c>
      <c r="M93" s="21">
        <v>10.5</v>
      </c>
      <c r="N93" s="21">
        <f t="shared" si="12"/>
        <v>16</v>
      </c>
      <c r="O93" s="21">
        <f t="shared" si="13"/>
        <v>6.5</v>
      </c>
      <c r="P93" s="21"/>
      <c r="Q93" s="21"/>
      <c r="R93" s="21"/>
      <c r="S93" s="21"/>
      <c r="T93" s="5" t="str">
        <f t="shared" si="9"/>
        <v>FT2-06</v>
      </c>
    </row>
    <row r="94" spans="6:24" s="5" customFormat="1" hidden="1" outlineLevel="1">
      <c r="F94" s="5" t="s">
        <v>149</v>
      </c>
      <c r="G94" s="21">
        <v>11.75</v>
      </c>
      <c r="H94" s="21">
        <f t="shared" si="10"/>
        <v>17.5</v>
      </c>
      <c r="I94" s="21">
        <f t="shared" si="11"/>
        <v>9</v>
      </c>
      <c r="J94" s="5" t="str">
        <f t="shared" si="14"/>
        <v>T-08</v>
      </c>
      <c r="K94" s="19"/>
      <c r="L94" s="5" t="s">
        <v>115</v>
      </c>
      <c r="M94" s="21">
        <v>9</v>
      </c>
      <c r="N94" s="21">
        <f t="shared" si="12"/>
        <v>13.5</v>
      </c>
      <c r="O94" s="21">
        <f t="shared" si="13"/>
        <v>4</v>
      </c>
      <c r="P94" s="21"/>
      <c r="Q94" s="21"/>
      <c r="R94" s="21"/>
      <c r="S94" s="21"/>
      <c r="T94" s="5" t="str">
        <f t="shared" si="9"/>
        <v>FT2-05</v>
      </c>
    </row>
    <row r="95" spans="6:24" s="5" customFormat="1" hidden="1" outlineLevel="1">
      <c r="F95" s="5" t="s">
        <v>150</v>
      </c>
      <c r="G95" s="21">
        <v>10.75</v>
      </c>
      <c r="H95" s="21">
        <f t="shared" si="10"/>
        <v>16</v>
      </c>
      <c r="I95" s="21">
        <f t="shared" si="11"/>
        <v>7.5</v>
      </c>
      <c r="J95" s="5" t="str">
        <f t="shared" si="14"/>
        <v>T-07</v>
      </c>
      <c r="K95" s="19"/>
      <c r="L95" s="5" t="s">
        <v>116</v>
      </c>
      <c r="M95" s="21">
        <v>7.75</v>
      </c>
      <c r="N95" s="21">
        <f t="shared" si="12"/>
        <v>11.5</v>
      </c>
      <c r="O95" s="21">
        <f t="shared" si="13"/>
        <v>2</v>
      </c>
      <c r="P95" s="21"/>
      <c r="Q95" s="21"/>
      <c r="R95" s="21"/>
      <c r="S95" s="21"/>
      <c r="T95" s="5" t="str">
        <f t="shared" si="9"/>
        <v>FT2-04</v>
      </c>
    </row>
    <row r="96" spans="6:24" s="5" customFormat="1" hidden="1" outlineLevel="1">
      <c r="F96" s="5" t="s">
        <v>151</v>
      </c>
      <c r="G96" s="21">
        <v>9.5</v>
      </c>
      <c r="H96" s="21">
        <f t="shared" si="10"/>
        <v>14.5</v>
      </c>
      <c r="I96" s="21">
        <f t="shared" si="11"/>
        <v>6</v>
      </c>
      <c r="J96" s="5" t="str">
        <f t="shared" si="14"/>
        <v>T-06</v>
      </c>
      <c r="K96" s="19"/>
      <c r="L96" s="5" t="s">
        <v>117</v>
      </c>
      <c r="M96" s="21">
        <v>7</v>
      </c>
      <c r="N96" s="21">
        <f t="shared" si="12"/>
        <v>10.5</v>
      </c>
      <c r="O96" s="21">
        <f t="shared" si="13"/>
        <v>1</v>
      </c>
      <c r="P96" s="21"/>
      <c r="Q96" s="21"/>
      <c r="R96" s="21"/>
      <c r="S96" s="21"/>
      <c r="T96" s="5" t="str">
        <f t="shared" si="9"/>
        <v>FT2-03</v>
      </c>
    </row>
    <row r="97" spans="6:20" s="5" customFormat="1" hidden="1" outlineLevel="1">
      <c r="F97" s="5" t="s">
        <v>152</v>
      </c>
      <c r="G97" s="21">
        <v>8.75</v>
      </c>
      <c r="H97" s="21">
        <f>IF(G97&lt;=H$81,MROUND(G97*H$79,H$78),MROUND(G97*H$80,H$78))</f>
        <v>13</v>
      </c>
      <c r="I97" s="21">
        <f t="shared" si="11"/>
        <v>4.5</v>
      </c>
      <c r="J97" s="5" t="str">
        <f t="shared" si="14"/>
        <v>T-05</v>
      </c>
      <c r="K97" s="19"/>
      <c r="L97" s="5" t="s">
        <v>118</v>
      </c>
      <c r="M97" s="21">
        <v>6.25</v>
      </c>
      <c r="N97" s="21">
        <f t="shared" si="12"/>
        <v>9.5</v>
      </c>
      <c r="O97" s="21">
        <f>N97-N$97</f>
        <v>0</v>
      </c>
      <c r="P97" s="21"/>
      <c r="Q97" s="21"/>
      <c r="R97" s="21"/>
      <c r="S97" s="21"/>
      <c r="T97" s="5" t="str">
        <f t="shared" si="9"/>
        <v>FT2-02</v>
      </c>
    </row>
    <row r="98" spans="6:20" s="5" customFormat="1" hidden="1" outlineLevel="1">
      <c r="F98" s="5" t="s">
        <v>153</v>
      </c>
      <c r="G98" s="21">
        <v>7.75</v>
      </c>
      <c r="H98" s="21">
        <f>IF(G98&lt;=H$81,MROUND(G98*H$79,H$78),MROUND(G98*H$80,H$78))</f>
        <v>11.5</v>
      </c>
      <c r="I98" s="21">
        <f t="shared" si="11"/>
        <v>3</v>
      </c>
      <c r="J98" s="5" t="str">
        <f>F98</f>
        <v>T-04</v>
      </c>
      <c r="K98" s="19"/>
      <c r="L98" s="19"/>
      <c r="N98" s="19"/>
      <c r="O98" s="19"/>
      <c r="P98" s="19"/>
      <c r="Q98" s="19"/>
      <c r="R98" s="19"/>
      <c r="S98" s="19"/>
    </row>
    <row r="99" spans="6:20" s="5" customFormat="1" hidden="1" outlineLevel="1">
      <c r="F99" s="5" t="s">
        <v>154</v>
      </c>
      <c r="G99" s="21">
        <v>7</v>
      </c>
      <c r="H99" s="21">
        <f>IF(G99&lt;=H$81,MROUND(G99*H$79,H$78),MROUND(G99*H$80,H$78))</f>
        <v>10.5</v>
      </c>
      <c r="I99" s="21">
        <f t="shared" si="11"/>
        <v>2</v>
      </c>
      <c r="J99" s="5" t="str">
        <f>F99</f>
        <v>T-03</v>
      </c>
      <c r="K99" s="19"/>
      <c r="L99" s="19"/>
      <c r="N99" s="19"/>
      <c r="O99" s="19"/>
      <c r="P99" s="19"/>
      <c r="Q99" s="19"/>
      <c r="R99" s="19"/>
      <c r="S99" s="19"/>
    </row>
    <row r="100" spans="6:20" s="5" customFormat="1" hidden="1" outlineLevel="1">
      <c r="F100" s="5" t="s">
        <v>155</v>
      </c>
      <c r="G100" s="21">
        <v>6.25</v>
      </c>
      <c r="H100" s="21">
        <f>IF(G100&lt;=H$81,MROUND(G100*H$79,H$78),MROUND(G100*H$80,H$78))</f>
        <v>9.5</v>
      </c>
      <c r="I100" s="21">
        <f t="shared" si="11"/>
        <v>1</v>
      </c>
      <c r="J100" s="5" t="str">
        <f>F100</f>
        <v>T-02</v>
      </c>
      <c r="K100" s="19"/>
      <c r="L100" s="19"/>
      <c r="N100" s="19"/>
      <c r="O100" s="19"/>
      <c r="P100" s="19"/>
      <c r="Q100" s="19"/>
      <c r="R100" s="19"/>
      <c r="S100" s="19"/>
    </row>
    <row r="101" spans="6:20" s="5" customFormat="1" hidden="1" outlineLevel="1">
      <c r="F101" s="5" t="s">
        <v>156</v>
      </c>
      <c r="G101" s="21">
        <v>5.55</v>
      </c>
      <c r="H101" s="21">
        <f>IF(G101&lt;=H$81,MROUND(G101*H$79,H$78),MROUND(G101*H$80,H$78))</f>
        <v>8.5</v>
      </c>
      <c r="I101" s="21">
        <f>H101-H$101</f>
        <v>0</v>
      </c>
      <c r="J101" s="5" t="str">
        <f>F101</f>
        <v>T-01</v>
      </c>
      <c r="K101" s="19"/>
      <c r="L101" s="19"/>
      <c r="N101" s="19"/>
      <c r="O101" s="19"/>
      <c r="P101" s="19"/>
      <c r="Q101" s="19"/>
      <c r="R101" s="19"/>
      <c r="S101" s="19"/>
    </row>
    <row r="102" spans="6:20" s="5" customFormat="1" hidden="1" outlineLevel="1">
      <c r="G102" s="21"/>
      <c r="H102" s="21"/>
      <c r="I102" s="21"/>
      <c r="K102" s="19"/>
      <c r="L102" s="19"/>
      <c r="N102" s="19"/>
      <c r="O102" s="19"/>
      <c r="P102" s="19"/>
      <c r="Q102" s="19"/>
      <c r="R102" s="19"/>
      <c r="S102" s="19"/>
    </row>
    <row r="103" spans="6:20" s="5" customFormat="1" hidden="1" outlineLevel="1">
      <c r="G103" s="21"/>
      <c r="K103" s="19"/>
      <c r="L103" s="19"/>
      <c r="N103" s="19"/>
      <c r="O103" s="19"/>
      <c r="P103" s="19"/>
      <c r="Q103" s="19"/>
      <c r="R103" s="19"/>
      <c r="S103" s="19"/>
    </row>
    <row r="104" spans="6:20" s="5" customFormat="1" hidden="1" outlineLevel="1">
      <c r="F104" s="22"/>
      <c r="G104" s="22" t="s">
        <v>4</v>
      </c>
      <c r="H104" s="23">
        <v>0.5</v>
      </c>
      <c r="I104" s="22"/>
      <c r="J104" s="22"/>
      <c r="K104" s="19"/>
      <c r="L104" s="19"/>
      <c r="N104" s="19"/>
      <c r="O104" s="19"/>
      <c r="P104" s="19"/>
      <c r="Q104" s="19"/>
      <c r="R104" s="19"/>
      <c r="S104" s="19"/>
    </row>
    <row r="105" spans="6:20" s="5" customFormat="1" hidden="1" outlineLevel="1">
      <c r="F105" s="22"/>
      <c r="G105" s="22" t="s">
        <v>3</v>
      </c>
      <c r="H105" s="24">
        <v>1.5</v>
      </c>
      <c r="I105" s="22"/>
      <c r="J105" s="22"/>
      <c r="K105" s="19"/>
      <c r="L105" s="19"/>
      <c r="N105" s="19"/>
      <c r="O105" s="19"/>
      <c r="P105" s="19"/>
      <c r="Q105" s="19"/>
      <c r="R105" s="19"/>
      <c r="S105" s="19"/>
    </row>
    <row r="106" spans="6:20" s="5" customFormat="1" ht="28" hidden="1" outlineLevel="1">
      <c r="F106" s="2" t="s">
        <v>164</v>
      </c>
      <c r="G106" s="2" t="s">
        <v>7</v>
      </c>
      <c r="H106" s="2" t="s">
        <v>6</v>
      </c>
      <c r="I106" s="2" t="s">
        <v>5</v>
      </c>
      <c r="J106" s="2" t="str">
        <f>F106</f>
        <v>3-Bullnose Tile</v>
      </c>
      <c r="K106" s="19"/>
      <c r="L106" s="19"/>
      <c r="N106" s="19"/>
      <c r="O106" s="19"/>
      <c r="P106" s="19"/>
      <c r="Q106" s="19"/>
      <c r="R106" s="19"/>
      <c r="S106" s="19"/>
    </row>
    <row r="107" spans="6:20" s="5" customFormat="1" hidden="1" outlineLevel="1">
      <c r="F107" s="5" t="s">
        <v>137</v>
      </c>
      <c r="G107" s="21">
        <v>15.25</v>
      </c>
      <c r="H107" s="21">
        <f t="shared" ref="H107:H115" si="15">MROUND(G107*H$105,H$104)</f>
        <v>23</v>
      </c>
      <c r="I107" s="21">
        <f t="shared" ref="I107:I115" si="16">H107-H$116</f>
        <v>19</v>
      </c>
      <c r="J107" s="5" t="str">
        <f>F107</f>
        <v>BN-11</v>
      </c>
      <c r="K107" s="19"/>
      <c r="L107" s="19"/>
      <c r="N107" s="19"/>
      <c r="O107" s="19"/>
      <c r="P107" s="19"/>
      <c r="Q107" s="19"/>
      <c r="R107" s="19"/>
      <c r="S107" s="19"/>
    </row>
    <row r="108" spans="6:20" s="5" customFormat="1" hidden="1" outlineLevel="1">
      <c r="F108" s="5" t="s">
        <v>11</v>
      </c>
      <c r="G108" s="21">
        <v>12</v>
      </c>
      <c r="H108" s="21">
        <f t="shared" si="15"/>
        <v>18</v>
      </c>
      <c r="I108" s="21">
        <f t="shared" si="16"/>
        <v>14</v>
      </c>
      <c r="J108" s="5" t="str">
        <f t="shared" ref="J108:J116" si="17">F108</f>
        <v>BN-10</v>
      </c>
      <c r="K108" s="19"/>
      <c r="L108" s="19"/>
      <c r="N108" s="19"/>
      <c r="O108" s="19"/>
      <c r="P108" s="19"/>
      <c r="Q108" s="19"/>
      <c r="R108" s="19"/>
      <c r="S108" s="19"/>
    </row>
    <row r="109" spans="6:20" s="5" customFormat="1" hidden="1" outlineLevel="1">
      <c r="F109" s="5" t="s">
        <v>110</v>
      </c>
      <c r="G109" s="21">
        <v>10</v>
      </c>
      <c r="H109" s="21">
        <f t="shared" si="15"/>
        <v>15</v>
      </c>
      <c r="I109" s="21">
        <f t="shared" si="16"/>
        <v>11</v>
      </c>
      <c r="J109" s="5" t="str">
        <f t="shared" si="17"/>
        <v>BN-09</v>
      </c>
      <c r="K109" s="19"/>
      <c r="L109" s="19"/>
      <c r="N109" s="19"/>
      <c r="O109" s="19"/>
      <c r="P109" s="19"/>
      <c r="Q109" s="19"/>
      <c r="R109" s="19"/>
      <c r="S109" s="19"/>
    </row>
    <row r="110" spans="6:20" s="5" customFormat="1" hidden="1" outlineLevel="1">
      <c r="F110" s="5" t="s">
        <v>109</v>
      </c>
      <c r="G110" s="21">
        <v>8.5</v>
      </c>
      <c r="H110" s="21">
        <f t="shared" si="15"/>
        <v>13</v>
      </c>
      <c r="I110" s="21">
        <f t="shared" si="16"/>
        <v>9</v>
      </c>
      <c r="J110" s="5" t="str">
        <f t="shared" si="17"/>
        <v>BN-08</v>
      </c>
      <c r="K110" s="19"/>
      <c r="L110" s="19"/>
      <c r="N110" s="19"/>
      <c r="O110" s="19"/>
      <c r="P110" s="19"/>
      <c r="Q110" s="19"/>
      <c r="R110" s="19"/>
      <c r="S110" s="19"/>
    </row>
    <row r="111" spans="6:20" s="5" customFormat="1" hidden="1" outlineLevel="1">
      <c r="F111" s="5" t="s">
        <v>108</v>
      </c>
      <c r="G111" s="21">
        <v>7.25</v>
      </c>
      <c r="H111" s="21">
        <f t="shared" si="15"/>
        <v>11</v>
      </c>
      <c r="I111" s="21">
        <f t="shared" si="16"/>
        <v>7</v>
      </c>
      <c r="J111" s="5" t="str">
        <f t="shared" si="17"/>
        <v>BN-07</v>
      </c>
      <c r="K111" s="19"/>
      <c r="L111" s="19"/>
      <c r="N111" s="19"/>
      <c r="O111" s="19"/>
      <c r="P111" s="19"/>
      <c r="Q111" s="19"/>
      <c r="R111" s="19"/>
      <c r="S111" s="19"/>
    </row>
    <row r="112" spans="6:20" hidden="1" outlineLevel="1">
      <c r="F112" s="5" t="s">
        <v>107</v>
      </c>
      <c r="G112" s="21">
        <v>6</v>
      </c>
      <c r="H112" s="21">
        <f t="shared" si="15"/>
        <v>9</v>
      </c>
      <c r="I112" s="21">
        <f t="shared" si="16"/>
        <v>5</v>
      </c>
      <c r="J112" s="5" t="str">
        <f t="shared" si="17"/>
        <v>BN-06</v>
      </c>
    </row>
    <row r="113" spans="6:10" hidden="1" outlineLevel="1">
      <c r="F113" s="5" t="s">
        <v>106</v>
      </c>
      <c r="G113" s="21">
        <v>4.5</v>
      </c>
      <c r="H113" s="21">
        <f t="shared" si="15"/>
        <v>7</v>
      </c>
      <c r="I113" s="21">
        <f t="shared" si="16"/>
        <v>3</v>
      </c>
      <c r="J113" s="5" t="str">
        <f t="shared" si="17"/>
        <v>BN-05</v>
      </c>
    </row>
    <row r="114" spans="6:10" hidden="1" outlineLevel="1">
      <c r="F114" s="5" t="s">
        <v>105</v>
      </c>
      <c r="G114" s="21">
        <v>4</v>
      </c>
      <c r="H114" s="21">
        <f t="shared" si="15"/>
        <v>6</v>
      </c>
      <c r="I114" s="21">
        <f t="shared" si="16"/>
        <v>2</v>
      </c>
      <c r="J114" s="5" t="str">
        <f t="shared" si="17"/>
        <v>BN-04</v>
      </c>
    </row>
    <row r="115" spans="6:10" hidden="1" outlineLevel="1">
      <c r="F115" s="5" t="s">
        <v>104</v>
      </c>
      <c r="G115" s="21">
        <v>3.25</v>
      </c>
      <c r="H115" s="21">
        <f t="shared" si="15"/>
        <v>5</v>
      </c>
      <c r="I115" s="21">
        <f t="shared" si="16"/>
        <v>1</v>
      </c>
      <c r="J115" s="5" t="str">
        <f t="shared" si="17"/>
        <v>BN-03</v>
      </c>
    </row>
    <row r="116" spans="6:10" hidden="1" outlineLevel="1">
      <c r="F116" s="5" t="s">
        <v>103</v>
      </c>
      <c r="G116" s="21">
        <v>2.75</v>
      </c>
      <c r="H116" s="21">
        <f>MROUND(G116*H$105,H$104)</f>
        <v>4</v>
      </c>
      <c r="I116" s="21">
        <f>H116-H$116</f>
        <v>0</v>
      </c>
      <c r="J116" s="5" t="str">
        <f t="shared" si="17"/>
        <v>BN-02</v>
      </c>
    </row>
    <row r="117" spans="6:10" hidden="1" outlineLevel="1">
      <c r="F117" s="5" t="s">
        <v>102</v>
      </c>
      <c r="G117" s="21">
        <v>2.15</v>
      </c>
    </row>
    <row r="118" spans="6:10" hidden="1" outlineLevel="1"/>
    <row r="119" spans="6:10" hidden="1" outlineLevel="1">
      <c r="F119" s="20" t="s">
        <v>12</v>
      </c>
      <c r="G119" s="20" t="s">
        <v>7</v>
      </c>
      <c r="H119" s="20" t="s">
        <v>3</v>
      </c>
      <c r="I119" s="20" t="s">
        <v>4</v>
      </c>
      <c r="J119" s="22"/>
    </row>
    <row r="120" spans="6:10" hidden="1" outlineLevel="1">
      <c r="F120" s="9" t="str">
        <f>$F$82</f>
        <v>1-Field Tile</v>
      </c>
      <c r="G120" s="12">
        <v>0</v>
      </c>
      <c r="H120" s="24">
        <v>1.75</v>
      </c>
      <c r="I120" s="23">
        <v>1</v>
      </c>
      <c r="J120" s="1"/>
    </row>
    <row r="121" spans="6:10" hidden="1" outlineLevel="1">
      <c r="F121" s="9" t="str">
        <f>$L$82</f>
        <v>2-Field Tile L2</v>
      </c>
      <c r="G121" s="12">
        <v>0</v>
      </c>
      <c r="H121" s="24">
        <v>1.75</v>
      </c>
      <c r="I121" s="23">
        <v>1</v>
      </c>
      <c r="J121" s="1"/>
    </row>
    <row r="122" spans="6:10" hidden="1" outlineLevel="1">
      <c r="F122" s="9" t="str">
        <f>$F$106</f>
        <v>3-Bullnose Tile</v>
      </c>
      <c r="G122" s="12">
        <v>0</v>
      </c>
      <c r="H122" s="24">
        <v>1.75</v>
      </c>
      <c r="I122" s="23">
        <v>1</v>
      </c>
      <c r="J122" s="1"/>
    </row>
    <row r="123" spans="6:10" hidden="1" outlineLevel="1">
      <c r="F123" s="9" t="s">
        <v>165</v>
      </c>
      <c r="G123" s="12">
        <v>0</v>
      </c>
      <c r="H123" s="24">
        <v>1.75</v>
      </c>
      <c r="I123" s="23">
        <v>1</v>
      </c>
      <c r="J123" s="1"/>
    </row>
    <row r="124" spans="6:10" hidden="1" outlineLevel="1">
      <c r="F124" s="9" t="s">
        <v>166</v>
      </c>
      <c r="G124" s="12">
        <v>0</v>
      </c>
      <c r="H124" s="24">
        <v>2</v>
      </c>
      <c r="I124" s="23">
        <v>1</v>
      </c>
      <c r="J124" s="1"/>
    </row>
    <row r="125" spans="6:10" hidden="1" outlineLevel="1">
      <c r="F125" s="9" t="s">
        <v>167</v>
      </c>
      <c r="G125" s="12">
        <v>300</v>
      </c>
      <c r="H125" s="24">
        <v>1.75</v>
      </c>
      <c r="I125" s="23">
        <v>1</v>
      </c>
      <c r="J125" s="1"/>
    </row>
    <row r="126" spans="6:10" hidden="1" outlineLevel="1">
      <c r="F126" s="9" t="s">
        <v>168</v>
      </c>
      <c r="G126" s="12">
        <v>150</v>
      </c>
      <c r="H126" s="24">
        <v>1.75</v>
      </c>
      <c r="I126" s="23">
        <v>1</v>
      </c>
      <c r="J126" s="1"/>
    </row>
    <row r="127" spans="6:10" hidden="1" outlineLevel="1">
      <c r="F127" s="9" t="s">
        <v>169</v>
      </c>
      <c r="G127" s="12">
        <v>0</v>
      </c>
      <c r="H127" s="24">
        <v>0</v>
      </c>
      <c r="I127" s="23">
        <v>1</v>
      </c>
      <c r="J127" s="1"/>
    </row>
    <row r="128" spans="6:10" hidden="1" outlineLevel="1">
      <c r="F128" s="50" t="s">
        <v>175</v>
      </c>
      <c r="G128" s="12">
        <v>8.75</v>
      </c>
      <c r="H128" s="24">
        <v>0</v>
      </c>
      <c r="I128" s="23">
        <v>1</v>
      </c>
    </row>
    <row r="129" collapsed="1"/>
  </sheetData>
  <mergeCells count="1">
    <mergeCell ref="Q1:T1"/>
  </mergeCells>
  <phoneticPr fontId="3" type="noConversion"/>
  <dataValidations count="2">
    <dataValidation type="list" allowBlank="1" showInputMessage="1" showErrorMessage="1" sqref="F66:F70 F15:F26 F5:F11 F45:F48 F38:F41 F52:F55 F59:F62 F30:F34">
      <formula1>$F$120:$F$128</formula1>
    </dataValidation>
    <dataValidation type="list" allowBlank="1" showInputMessage="1" showErrorMessage="1" sqref="B5:C11">
      <formula1>#REF!</formula1>
    </dataValidation>
  </dataValidations>
  <printOptions horizontalCentered="1"/>
  <pageMargins left="0.75" right="0.75" top="0.75" bottom="0.75" header="0.5" footer="0.5"/>
  <rowBreaks count="1" manualBreakCount="1">
    <brk id="76" max="18" man="1"/>
  </rowBreaks>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getgroupandmanu">
                <anchor moveWithCells="1" sizeWithCells="1">
                  <from>
                    <xdr:col>15</xdr:col>
                    <xdr:colOff>203200</xdr:colOff>
                    <xdr:row>0</xdr:row>
                    <xdr:rowOff>38100</xdr:rowOff>
                  </from>
                  <to>
                    <xdr:col>15</xdr:col>
                    <xdr:colOff>1054100</xdr:colOff>
                    <xdr:row>1</xdr:row>
                    <xdr:rowOff>190500</xdr:rowOff>
                  </to>
                </anchor>
              </controlPr>
            </control>
          </mc:Choice>
          <mc:Fallback/>
        </mc:AlternateContent>
        <mc:AlternateContent xmlns:mc="http://schemas.openxmlformats.org/markup-compatibility/2006">
          <mc:Choice Requires="x14">
            <control shapeId="1028" r:id="rId4" name="Button 4">
              <controlPr defaultSize="0" print="0" autoFill="0" autoPict="0" macro="[0]!getdimension">
                <anchor moveWithCells="1" sizeWithCells="1">
                  <from>
                    <xdr:col>18</xdr:col>
                    <xdr:colOff>101600</xdr:colOff>
                    <xdr:row>1</xdr:row>
                    <xdr:rowOff>25400</xdr:rowOff>
                  </from>
                  <to>
                    <xdr:col>18</xdr:col>
                    <xdr:colOff>711200</xdr:colOff>
                    <xdr:row>3</xdr:row>
                    <xdr:rowOff>0</xdr:rowOff>
                  </to>
                </anchor>
              </controlPr>
            </control>
          </mc:Choice>
          <mc:Fallback/>
        </mc:AlternateContent>
        <mc:AlternateContent xmlns:mc="http://schemas.openxmlformats.org/markup-compatibility/2006">
          <mc:Choice Requires="x14">
            <control shapeId="1029" r:id="rId5" name="Button 5">
              <controlPr defaultSize="0" print="0" autoFill="0" autoPict="0" macro="[0]!gettype">
                <anchor moveWithCells="1" sizeWithCells="1">
                  <from>
                    <xdr:col>17</xdr:col>
                    <xdr:colOff>393700</xdr:colOff>
                    <xdr:row>1</xdr:row>
                    <xdr:rowOff>12700</xdr:rowOff>
                  </from>
                  <to>
                    <xdr:col>17</xdr:col>
                    <xdr:colOff>1003300</xdr:colOff>
                    <xdr:row>2</xdr:row>
                    <xdr:rowOff>88900</xdr:rowOff>
                  </to>
                </anchor>
              </controlPr>
            </control>
          </mc:Choice>
          <mc:Fallback/>
        </mc:AlternateContent>
        <mc:AlternateContent xmlns:mc="http://schemas.openxmlformats.org/markup-compatibility/2006">
          <mc:Choice Requires="x14">
            <control shapeId="1030" r:id="rId6" name="Button 6">
              <controlPr defaultSize="0" print="0" autoFill="0" autoPict="0" macro="[0]!getcost">
                <anchor moveWithCells="1" sizeWithCells="1">
                  <from>
                    <xdr:col>19</xdr:col>
                    <xdr:colOff>177800</xdr:colOff>
                    <xdr:row>1</xdr:row>
                    <xdr:rowOff>25400</xdr:rowOff>
                  </from>
                  <to>
                    <xdr:col>19</xdr:col>
                    <xdr:colOff>787400</xdr:colOff>
                    <xdr:row>3</xdr:row>
                    <xdr:rowOff>0</xdr:rowOff>
                  </to>
                </anchor>
              </controlPr>
            </control>
          </mc:Choice>
          <mc:Fallback/>
        </mc:AlternateContent>
        <mc:AlternateContent xmlns:mc="http://schemas.openxmlformats.org/markup-compatibility/2006">
          <mc:Choice Requires="x14">
            <control shapeId="1032" r:id="rId7" name="Button 8">
              <controlPr defaultSize="0" print="0" autoFill="0" autoPict="0" macro="[0]!getstyle">
                <anchor moveWithCells="1" sizeWithCells="1">
                  <from>
                    <xdr:col>16</xdr:col>
                    <xdr:colOff>152400</xdr:colOff>
                    <xdr:row>1</xdr:row>
                    <xdr:rowOff>25400</xdr:rowOff>
                  </from>
                  <to>
                    <xdr:col>16</xdr:col>
                    <xdr:colOff>762000</xdr:colOff>
                    <xdr:row>2</xdr:row>
                    <xdr:rowOff>88900</xdr:rowOff>
                  </to>
                </anchor>
              </controlPr>
            </control>
          </mc:Choice>
          <mc:Fallback/>
        </mc:AlternateContent>
        <mc:AlternateContent xmlns:mc="http://schemas.openxmlformats.org/markup-compatibility/2006">
          <mc:Choice Requires="x14">
            <control shapeId="1033" r:id="rId8" name="Button 9">
              <controlPr defaultSize="0" print="0" autoFill="0" autoPict="0" macro="[0]!resettiles">
                <anchor moveWithCells="1" sizeWithCells="1">
                  <from>
                    <xdr:col>20</xdr:col>
                    <xdr:colOff>177800</xdr:colOff>
                    <xdr:row>0</xdr:row>
                    <xdr:rowOff>50800</xdr:rowOff>
                  </from>
                  <to>
                    <xdr:col>20</xdr:col>
                    <xdr:colOff>1016000</xdr:colOff>
                    <xdr:row>2</xdr:row>
                    <xdr:rowOff>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Temp!$A$1:$A$5</xm:f>
          </x14:formula1>
          <xm:sqref>P5 P7 P8 P10 P11 P15 P17 P18 P19 P20 P22 P23 P24 P25 P26 P30 P31 P32 P33 P34 P38 P39 P40 P41 P45 P46 P47 P48 P52 P53 P54 P55 P59 P60 P61 P62 P66 P68 P70</xm:sqref>
        </x14:dataValidation>
        <x14:dataValidation type="list" allowBlank="1" showInputMessage="1" showErrorMessage="1">
          <x14:formula1>
            <xm:f>Temp!$B$1:$B$4</xm:f>
          </x14:formula1>
          <xm:sqref>Q5 Q7 Q8 Q10 Q11 Q15 Q17 Q18 Q19 Q20 Q22 Q23 Q24 Q25 Q26 Q30 Q31 Q32 Q33 Q34 Q38 Q39 Q40 Q41 Q45 Q46 Q47 Q48 Q52 Q53 Q54 Q55 Q59 Q60 Q61 Q62 Q66 Q68 Q70</xm:sqref>
        </x14:dataValidation>
      </x14:dataValidations>
    </ext>
    <ext xmlns:mx="http://schemas.microsoft.com/office/mac/excel/2008/main" uri="{64002731-A6B0-56B0-2670-7721B7C09600}">
      <mx:PLV Mode="0" OnePage="0" WScale="10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D52"/>
  <sheetViews>
    <sheetView zoomScale="125" zoomScaleNormal="125" zoomScalePageLayoutView="125" workbookViewId="0"/>
  </sheetViews>
  <sheetFormatPr baseColWidth="10" defaultRowHeight="12" x14ac:dyDescent="0"/>
  <cols>
    <col min="1" max="1" width="34" style="32" bestFit="1" customWidth="1"/>
    <col min="2" max="2" width="12.1640625" style="33" bestFit="1" customWidth="1"/>
    <col min="3" max="3" width="8.5" style="34" bestFit="1" customWidth="1"/>
    <col min="4" max="4" width="61.1640625" style="32" bestFit="1" customWidth="1"/>
    <col min="5" max="16384" width="10.83203125" style="32"/>
  </cols>
  <sheetData>
    <row r="1" spans="1:4">
      <c r="A1" s="32" t="s">
        <v>28</v>
      </c>
      <c r="B1" s="33">
        <v>24.951310579317202</v>
      </c>
      <c r="C1" s="34">
        <v>5.51</v>
      </c>
      <c r="D1" s="32" t="s">
        <v>38</v>
      </c>
    </row>
    <row r="2" spans="1:4">
      <c r="A2" s="32" t="s">
        <v>69</v>
      </c>
      <c r="B2" s="33">
        <v>37.798235017621799</v>
      </c>
      <c r="C2" s="34">
        <v>5.51</v>
      </c>
      <c r="D2" s="32" t="s">
        <v>38</v>
      </c>
    </row>
    <row r="3" spans="1:4">
      <c r="A3" s="32" t="s">
        <v>70</v>
      </c>
      <c r="B3" s="33">
        <v>28.686361192083801</v>
      </c>
      <c r="C3" s="34">
        <v>5.51</v>
      </c>
      <c r="D3" s="32" t="s">
        <v>38</v>
      </c>
    </row>
    <row r="4" spans="1:4">
      <c r="A4" s="32" t="s">
        <v>23</v>
      </c>
      <c r="B4" s="33">
        <v>34.669306344110304</v>
      </c>
      <c r="C4" s="34">
        <v>7.46</v>
      </c>
      <c r="D4" s="32" t="s">
        <v>40</v>
      </c>
    </row>
    <row r="5" spans="1:4">
      <c r="A5" s="32" t="s">
        <v>41</v>
      </c>
      <c r="B5" s="33">
        <v>0</v>
      </c>
      <c r="C5" s="34">
        <v>0</v>
      </c>
      <c r="D5" s="32" t="s">
        <v>42</v>
      </c>
    </row>
    <row r="6" spans="1:4">
      <c r="A6" s="32" t="s">
        <v>43</v>
      </c>
      <c r="B6" s="33">
        <v>396.45926343219202</v>
      </c>
      <c r="C6" s="34">
        <v>7.6</v>
      </c>
      <c r="D6" s="32" t="s">
        <v>44</v>
      </c>
    </row>
    <row r="7" spans="1:4">
      <c r="A7" s="32" t="s">
        <v>45</v>
      </c>
      <c r="B7" s="33">
        <v>396</v>
      </c>
      <c r="C7" s="34">
        <v>1</v>
      </c>
      <c r="D7" s="32" t="s">
        <v>30</v>
      </c>
    </row>
    <row r="8" spans="1:4">
      <c r="A8" s="32" t="s">
        <v>31</v>
      </c>
      <c r="B8" s="33">
        <v>59.395269288051203</v>
      </c>
      <c r="C8" s="34">
        <v>9.17</v>
      </c>
      <c r="D8" s="32" t="s">
        <v>46</v>
      </c>
    </row>
    <row r="9" spans="1:4">
      <c r="A9" s="32" t="s">
        <v>75</v>
      </c>
      <c r="B9" s="33">
        <v>214</v>
      </c>
      <c r="C9" s="34">
        <v>7.07</v>
      </c>
      <c r="D9" s="32" t="s">
        <v>47</v>
      </c>
    </row>
    <row r="10" spans="1:4">
      <c r="A10" s="32" t="s">
        <v>68</v>
      </c>
      <c r="B10" s="33">
        <v>214</v>
      </c>
      <c r="C10" s="34">
        <v>1</v>
      </c>
      <c r="D10" s="32" t="s">
        <v>30</v>
      </c>
    </row>
    <row r="11" spans="1:4">
      <c r="A11" s="32" t="s">
        <v>48</v>
      </c>
      <c r="B11" s="33">
        <v>14</v>
      </c>
      <c r="C11" s="34">
        <v>21.72</v>
      </c>
      <c r="D11" s="32" t="s">
        <v>49</v>
      </c>
    </row>
    <row r="12" spans="1:4">
      <c r="A12" s="32" t="s">
        <v>61</v>
      </c>
      <c r="B12" s="33">
        <v>66</v>
      </c>
      <c r="C12" s="34">
        <v>9.43</v>
      </c>
      <c r="D12" s="32" t="s">
        <v>50</v>
      </c>
    </row>
    <row r="13" spans="1:4">
      <c r="A13" s="32" t="s">
        <v>62</v>
      </c>
      <c r="B13" s="33">
        <v>66</v>
      </c>
      <c r="C13" s="34">
        <v>1</v>
      </c>
      <c r="D13" s="32" t="s">
        <v>51</v>
      </c>
    </row>
    <row r="14" spans="1:4">
      <c r="A14" s="32" t="s">
        <v>29</v>
      </c>
      <c r="B14" s="33">
        <v>33</v>
      </c>
      <c r="C14" s="34">
        <v>2.72</v>
      </c>
      <c r="D14" s="32" t="s">
        <v>52</v>
      </c>
    </row>
    <row r="15" spans="1:4">
      <c r="A15" s="32" t="s">
        <v>74</v>
      </c>
      <c r="B15" s="33">
        <v>66</v>
      </c>
      <c r="C15" s="34">
        <v>9.43</v>
      </c>
      <c r="D15" s="32" t="s">
        <v>50</v>
      </c>
    </row>
    <row r="16" spans="1:4">
      <c r="A16" s="32" t="s">
        <v>66</v>
      </c>
      <c r="B16" s="33">
        <v>33</v>
      </c>
      <c r="C16" s="34">
        <v>2.72</v>
      </c>
      <c r="D16" s="32" t="s">
        <v>52</v>
      </c>
    </row>
    <row r="17" spans="1:4">
      <c r="A17" s="32" t="s">
        <v>63</v>
      </c>
      <c r="B17" s="33">
        <v>66</v>
      </c>
      <c r="C17" s="34">
        <v>9.43</v>
      </c>
      <c r="D17" s="32" t="s">
        <v>50</v>
      </c>
    </row>
    <row r="18" spans="1:4">
      <c r="A18" s="32" t="s">
        <v>67</v>
      </c>
      <c r="B18" s="33">
        <v>33</v>
      </c>
      <c r="C18" s="34">
        <v>2.72</v>
      </c>
      <c r="D18" s="32" t="s">
        <v>52</v>
      </c>
    </row>
    <row r="19" spans="1:4">
      <c r="A19" s="32" t="s">
        <v>71</v>
      </c>
      <c r="B19" s="33">
        <v>66</v>
      </c>
      <c r="C19" s="34">
        <v>9.43</v>
      </c>
      <c r="D19" s="32" t="s">
        <v>50</v>
      </c>
    </row>
    <row r="20" spans="1:4">
      <c r="A20" s="32" t="s">
        <v>72</v>
      </c>
      <c r="B20" s="33">
        <v>33</v>
      </c>
      <c r="C20" s="34">
        <v>2.72</v>
      </c>
      <c r="D20" s="32" t="s">
        <v>52</v>
      </c>
    </row>
    <row r="21" spans="1:4">
      <c r="A21" s="32" t="s">
        <v>64</v>
      </c>
      <c r="B21" s="33">
        <v>66</v>
      </c>
      <c r="C21" s="34">
        <v>9.43</v>
      </c>
      <c r="D21" s="32" t="s">
        <v>50</v>
      </c>
    </row>
    <row r="22" spans="1:4">
      <c r="A22" s="32" t="s">
        <v>65</v>
      </c>
      <c r="B22" s="33">
        <v>66</v>
      </c>
      <c r="C22" s="34">
        <v>1</v>
      </c>
      <c r="D22" s="32" t="s">
        <v>0</v>
      </c>
    </row>
    <row r="23" spans="1:4">
      <c r="A23" s="32" t="s">
        <v>73</v>
      </c>
      <c r="B23" s="33">
        <v>33</v>
      </c>
      <c r="C23" s="34">
        <v>2.72</v>
      </c>
      <c r="D23" s="32" t="s">
        <v>52</v>
      </c>
    </row>
    <row r="24" spans="1:4">
      <c r="A24" s="32" t="s">
        <v>78</v>
      </c>
      <c r="B24" s="33">
        <v>60</v>
      </c>
      <c r="C24" s="34">
        <v>7.77</v>
      </c>
      <c r="D24" s="32" t="s">
        <v>53</v>
      </c>
    </row>
    <row r="25" spans="1:4">
      <c r="A25" s="32" t="s">
        <v>79</v>
      </c>
      <c r="B25" s="33">
        <v>11</v>
      </c>
      <c r="C25" s="34">
        <v>18.059999999999999</v>
      </c>
      <c r="D25" s="32" t="s">
        <v>54</v>
      </c>
    </row>
    <row r="26" spans="1:4">
      <c r="A26" s="32" t="s">
        <v>79</v>
      </c>
      <c r="B26" s="33">
        <v>6</v>
      </c>
      <c r="C26" s="34">
        <v>13.71</v>
      </c>
      <c r="D26" s="32" t="s">
        <v>55</v>
      </c>
    </row>
    <row r="27" spans="1:4">
      <c r="A27" s="32" t="s">
        <v>80</v>
      </c>
      <c r="B27" s="33">
        <v>54</v>
      </c>
      <c r="C27" s="34">
        <v>7.77</v>
      </c>
      <c r="D27" s="32" t="s">
        <v>53</v>
      </c>
    </row>
    <row r="28" spans="1:4">
      <c r="A28" s="32" t="s">
        <v>81</v>
      </c>
      <c r="B28" s="33">
        <v>10</v>
      </c>
      <c r="C28" s="34">
        <v>18.059999999999999</v>
      </c>
      <c r="D28" s="32" t="s">
        <v>56</v>
      </c>
    </row>
    <row r="29" spans="1:4">
      <c r="A29" s="32" t="s">
        <v>81</v>
      </c>
      <c r="B29" s="33">
        <v>2</v>
      </c>
      <c r="C29" s="34">
        <v>23.53</v>
      </c>
      <c r="D29" s="32" t="s">
        <v>57</v>
      </c>
    </row>
    <row r="30" spans="1:4">
      <c r="A30" s="32" t="s">
        <v>81</v>
      </c>
      <c r="B30" s="33">
        <v>3</v>
      </c>
      <c r="C30" s="34">
        <v>13.71</v>
      </c>
      <c r="D30" s="32" t="s">
        <v>55</v>
      </c>
    </row>
    <row r="31" spans="1:4">
      <c r="A31" s="32" t="s">
        <v>30</v>
      </c>
      <c r="B31" s="33">
        <v>32</v>
      </c>
      <c r="C31" s="34">
        <v>10</v>
      </c>
      <c r="D31" s="32" t="s">
        <v>58</v>
      </c>
    </row>
    <row r="32" spans="1:4">
      <c r="A32" s="32" t="s">
        <v>82</v>
      </c>
      <c r="B32" s="33">
        <v>47</v>
      </c>
      <c r="C32" s="34">
        <v>3</v>
      </c>
      <c r="D32" s="32" t="s">
        <v>59</v>
      </c>
    </row>
    <row r="33" spans="1:4">
      <c r="A33" s="32" t="s">
        <v>83</v>
      </c>
      <c r="B33" s="33">
        <v>1</v>
      </c>
      <c r="C33" s="34">
        <v>918.75</v>
      </c>
      <c r="D33" s="32" t="s">
        <v>60</v>
      </c>
    </row>
    <row r="34" spans="1:4">
      <c r="A34" s="32" t="s">
        <v>2</v>
      </c>
      <c r="B34" s="33">
        <v>86</v>
      </c>
      <c r="C34" s="34">
        <v>1.55</v>
      </c>
      <c r="D34" s="32" t="s">
        <v>2</v>
      </c>
    </row>
    <row r="37" spans="1:4">
      <c r="A37" s="32" t="s">
        <v>1</v>
      </c>
      <c r="B37" s="33">
        <v>42</v>
      </c>
      <c r="C37" s="34">
        <v>13.32</v>
      </c>
      <c r="D37" s="32" t="s">
        <v>95</v>
      </c>
    </row>
    <row r="38" spans="1:4">
      <c r="A38" s="32" t="s">
        <v>30</v>
      </c>
      <c r="B38" s="33">
        <v>42</v>
      </c>
      <c r="C38" s="34">
        <v>1</v>
      </c>
      <c r="D38" s="32" t="s">
        <v>0</v>
      </c>
    </row>
    <row r="39" spans="1:4">
      <c r="A39" s="32" t="s">
        <v>92</v>
      </c>
      <c r="B39" s="33">
        <v>14</v>
      </c>
      <c r="C39" s="34">
        <v>9.58</v>
      </c>
      <c r="D39" s="32" t="s">
        <v>96</v>
      </c>
    </row>
    <row r="40" spans="1:4">
      <c r="A40" s="32" t="s">
        <v>30</v>
      </c>
      <c r="B40" s="33">
        <v>14</v>
      </c>
      <c r="C40" s="34">
        <v>2</v>
      </c>
      <c r="D40" s="32" t="s">
        <v>97</v>
      </c>
    </row>
    <row r="41" spans="1:4">
      <c r="A41" s="32" t="s">
        <v>93</v>
      </c>
      <c r="B41" s="33">
        <v>9</v>
      </c>
      <c r="C41" s="34">
        <v>9.58</v>
      </c>
      <c r="D41" s="32" t="s">
        <v>96</v>
      </c>
    </row>
    <row r="42" spans="1:4">
      <c r="A42" s="32" t="s">
        <v>30</v>
      </c>
      <c r="B42" s="33">
        <v>9</v>
      </c>
      <c r="C42" s="34">
        <v>2</v>
      </c>
      <c r="D42" s="32" t="s">
        <v>98</v>
      </c>
    </row>
    <row r="44" spans="1:4">
      <c r="A44" s="32" t="s">
        <v>94</v>
      </c>
      <c r="B44" s="33">
        <v>7</v>
      </c>
      <c r="C44" s="34">
        <v>9.58</v>
      </c>
      <c r="D44" s="32" t="s">
        <v>99</v>
      </c>
    </row>
    <row r="48" spans="1:4">
      <c r="A48" s="32" t="s">
        <v>160</v>
      </c>
    </row>
    <row r="49" spans="1:1">
      <c r="A49" s="32" t="s">
        <v>161</v>
      </c>
    </row>
    <row r="51" spans="1:1">
      <c r="A51" s="32" t="s">
        <v>170</v>
      </c>
    </row>
    <row r="52" spans="1:1">
      <c r="A52" s="32" t="s">
        <v>171</v>
      </c>
    </row>
  </sheetData>
  <pageMargins left="0.75" right="0.75" top="1" bottom="1" header="0.5" footer="0.5"/>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1213"/>
  <sheetViews>
    <sheetView workbookViewId="0">
      <selection activeCell="F341" sqref="F341:F348"/>
    </sheetView>
  </sheetViews>
  <sheetFormatPr baseColWidth="10" defaultRowHeight="12" x14ac:dyDescent="0"/>
  <cols>
    <col min="1" max="1" width="17.33203125" bestFit="1" customWidth="1"/>
    <col min="2" max="2" width="8.5" bestFit="1" customWidth="1"/>
    <col min="3" max="3" width="12.5" bestFit="1" customWidth="1"/>
    <col min="4" max="4" width="28.83203125" bestFit="1" customWidth="1"/>
    <col min="5" max="5" width="45.33203125" bestFit="1" customWidth="1"/>
  </cols>
  <sheetData>
    <row r="1" spans="1:8" ht="15">
      <c r="A1" s="51" t="s">
        <v>199</v>
      </c>
      <c r="B1" s="52" t="s">
        <v>200</v>
      </c>
      <c r="C1" s="52" t="s">
        <v>198</v>
      </c>
      <c r="D1" s="52" t="s">
        <v>195</v>
      </c>
      <c r="E1" s="52" t="s">
        <v>201</v>
      </c>
      <c r="F1" s="52" t="s">
        <v>196</v>
      </c>
      <c r="G1" s="52" t="s">
        <v>197</v>
      </c>
      <c r="H1" s="53" t="s">
        <v>202</v>
      </c>
    </row>
    <row r="2" spans="1:8" ht="14">
      <c r="A2" s="54" t="s">
        <v>203</v>
      </c>
      <c r="B2" s="55" t="s">
        <v>204</v>
      </c>
      <c r="C2" s="55" t="s">
        <v>205</v>
      </c>
      <c r="D2" s="55">
        <v>0</v>
      </c>
      <c r="E2" s="55" t="s">
        <v>206</v>
      </c>
      <c r="F2" s="55" t="s">
        <v>207</v>
      </c>
      <c r="G2" s="55" t="s">
        <v>208</v>
      </c>
      <c r="H2" s="56">
        <v>3.7</v>
      </c>
    </row>
    <row r="3" spans="1:8" ht="14">
      <c r="A3" s="54" t="s">
        <v>203</v>
      </c>
      <c r="B3" s="55" t="s">
        <v>204</v>
      </c>
      <c r="C3" s="55" t="s">
        <v>205</v>
      </c>
      <c r="D3" s="55">
        <v>0</v>
      </c>
      <c r="E3" s="55" t="s">
        <v>206</v>
      </c>
      <c r="F3" s="55" t="s">
        <v>209</v>
      </c>
      <c r="G3" s="55" t="s">
        <v>210</v>
      </c>
      <c r="H3" s="56">
        <v>6.69</v>
      </c>
    </row>
    <row r="4" spans="1:8" ht="14">
      <c r="A4" s="54" t="s">
        <v>203</v>
      </c>
      <c r="B4" s="55" t="s">
        <v>204</v>
      </c>
      <c r="C4" s="55" t="s">
        <v>205</v>
      </c>
      <c r="D4" s="55">
        <v>0</v>
      </c>
      <c r="E4" s="55" t="s">
        <v>206</v>
      </c>
      <c r="F4" s="55" t="s">
        <v>209</v>
      </c>
      <c r="G4" s="55" t="s">
        <v>211</v>
      </c>
      <c r="H4" s="56">
        <v>6.69</v>
      </c>
    </row>
    <row r="5" spans="1:8" ht="14">
      <c r="A5" s="54" t="s">
        <v>203</v>
      </c>
      <c r="B5" s="55" t="s">
        <v>204</v>
      </c>
      <c r="C5" s="55" t="s">
        <v>205</v>
      </c>
      <c r="D5" s="55">
        <v>0</v>
      </c>
      <c r="E5" s="55" t="s">
        <v>206</v>
      </c>
      <c r="F5" s="55" t="s">
        <v>209</v>
      </c>
      <c r="G5" s="55" t="s">
        <v>212</v>
      </c>
      <c r="H5" s="56">
        <v>7.19</v>
      </c>
    </row>
    <row r="6" spans="1:8" ht="14">
      <c r="A6" s="54" t="s">
        <v>203</v>
      </c>
      <c r="B6" s="55" t="s">
        <v>204</v>
      </c>
      <c r="C6" s="55" t="s">
        <v>205</v>
      </c>
      <c r="D6" s="55">
        <v>0</v>
      </c>
      <c r="E6" s="55" t="s">
        <v>213</v>
      </c>
      <c r="F6" s="55" t="s">
        <v>209</v>
      </c>
      <c r="G6" s="55" t="s">
        <v>214</v>
      </c>
      <c r="H6" s="56">
        <v>4.57</v>
      </c>
    </row>
    <row r="7" spans="1:8" ht="14">
      <c r="A7" s="54" t="s">
        <v>203</v>
      </c>
      <c r="B7" s="55" t="s">
        <v>204</v>
      </c>
      <c r="C7" s="55" t="s">
        <v>205</v>
      </c>
      <c r="D7" s="55">
        <v>0</v>
      </c>
      <c r="E7" s="55" t="s">
        <v>213</v>
      </c>
      <c r="F7" s="55" t="s">
        <v>209</v>
      </c>
      <c r="G7" s="55" t="s">
        <v>215</v>
      </c>
      <c r="H7" s="56">
        <v>4.72</v>
      </c>
    </row>
    <row r="8" spans="1:8" ht="14">
      <c r="A8" s="54" t="s">
        <v>203</v>
      </c>
      <c r="B8" s="55" t="s">
        <v>204</v>
      </c>
      <c r="C8" s="55" t="s">
        <v>205</v>
      </c>
      <c r="D8" s="55">
        <v>0</v>
      </c>
      <c r="E8" s="55" t="s">
        <v>216</v>
      </c>
      <c r="F8" s="55" t="s">
        <v>209</v>
      </c>
      <c r="G8" s="55" t="s">
        <v>217</v>
      </c>
      <c r="H8" s="56">
        <v>7.46</v>
      </c>
    </row>
    <row r="9" spans="1:8" ht="14">
      <c r="A9" s="54" t="s">
        <v>203</v>
      </c>
      <c r="B9" s="55" t="s">
        <v>204</v>
      </c>
      <c r="C9" s="55" t="s">
        <v>205</v>
      </c>
      <c r="D9" s="55">
        <v>0</v>
      </c>
      <c r="E9" s="55" t="s">
        <v>218</v>
      </c>
      <c r="F9" s="55" t="s">
        <v>207</v>
      </c>
      <c r="G9" s="55" t="s">
        <v>219</v>
      </c>
      <c r="H9" s="56">
        <v>2.98</v>
      </c>
    </row>
    <row r="10" spans="1:8" ht="14">
      <c r="A10" s="54" t="s">
        <v>203</v>
      </c>
      <c r="B10" s="55" t="s">
        <v>204</v>
      </c>
      <c r="C10" s="55" t="s">
        <v>205</v>
      </c>
      <c r="D10" s="55">
        <v>0</v>
      </c>
      <c r="E10" s="55" t="s">
        <v>218</v>
      </c>
      <c r="F10" s="55" t="s">
        <v>209</v>
      </c>
      <c r="G10" s="55" t="s">
        <v>217</v>
      </c>
      <c r="H10" s="56">
        <v>7.18</v>
      </c>
    </row>
    <row r="11" spans="1:8" ht="14">
      <c r="A11" s="54" t="s">
        <v>203</v>
      </c>
      <c r="B11" s="55" t="s">
        <v>204</v>
      </c>
      <c r="C11" s="55" t="s">
        <v>205</v>
      </c>
      <c r="D11" s="55">
        <v>0</v>
      </c>
      <c r="E11" s="55" t="s">
        <v>218</v>
      </c>
      <c r="F11" s="55" t="s">
        <v>209</v>
      </c>
      <c r="G11" s="55" t="s">
        <v>220</v>
      </c>
      <c r="H11" s="56">
        <v>7.46</v>
      </c>
    </row>
    <row r="12" spans="1:8" ht="14">
      <c r="A12" s="54" t="s">
        <v>203</v>
      </c>
      <c r="B12" s="55" t="s">
        <v>204</v>
      </c>
      <c r="C12" s="55" t="s">
        <v>205</v>
      </c>
      <c r="D12" s="55">
        <v>0</v>
      </c>
      <c r="E12" s="55" t="s">
        <v>221</v>
      </c>
      <c r="F12" s="55" t="s">
        <v>209</v>
      </c>
      <c r="G12" s="55" t="s">
        <v>222</v>
      </c>
      <c r="H12" s="56">
        <v>6.04</v>
      </c>
    </row>
    <row r="13" spans="1:8" ht="14">
      <c r="A13" s="54" t="s">
        <v>203</v>
      </c>
      <c r="B13" s="55" t="s">
        <v>204</v>
      </c>
      <c r="C13" s="55" t="s">
        <v>205</v>
      </c>
      <c r="D13" s="55">
        <v>0</v>
      </c>
      <c r="E13" s="55" t="s">
        <v>223</v>
      </c>
      <c r="F13" s="55" t="s">
        <v>207</v>
      </c>
      <c r="G13" s="55" t="s">
        <v>224</v>
      </c>
      <c r="H13" s="56">
        <v>6.5</v>
      </c>
    </row>
    <row r="14" spans="1:8" ht="14">
      <c r="A14" s="54" t="s">
        <v>203</v>
      </c>
      <c r="B14" s="55" t="s">
        <v>204</v>
      </c>
      <c r="C14" s="55" t="s">
        <v>205</v>
      </c>
      <c r="D14" s="55">
        <v>0</v>
      </c>
      <c r="E14" s="55" t="s">
        <v>223</v>
      </c>
      <c r="F14" s="55" t="s">
        <v>209</v>
      </c>
      <c r="G14" s="55" t="s">
        <v>225</v>
      </c>
      <c r="H14" s="56">
        <v>7.33</v>
      </c>
    </row>
    <row r="15" spans="1:8" ht="14">
      <c r="A15" s="54" t="s">
        <v>203</v>
      </c>
      <c r="B15" s="55" t="s">
        <v>204</v>
      </c>
      <c r="C15" s="55" t="s">
        <v>205</v>
      </c>
      <c r="D15" s="55">
        <v>0</v>
      </c>
      <c r="E15" s="55" t="s">
        <v>223</v>
      </c>
      <c r="F15" s="55" t="s">
        <v>209</v>
      </c>
      <c r="G15" s="55" t="s">
        <v>220</v>
      </c>
      <c r="H15" s="56">
        <v>7.19</v>
      </c>
    </row>
    <row r="16" spans="1:8" ht="14">
      <c r="A16" s="54" t="s">
        <v>203</v>
      </c>
      <c r="B16" s="55" t="s">
        <v>204</v>
      </c>
      <c r="C16" s="55" t="s">
        <v>205</v>
      </c>
      <c r="D16" s="55">
        <v>0</v>
      </c>
      <c r="E16" s="55" t="s">
        <v>223</v>
      </c>
      <c r="F16" s="55" t="s">
        <v>209</v>
      </c>
      <c r="G16" s="55" t="s">
        <v>226</v>
      </c>
      <c r="H16" s="56">
        <v>7.19</v>
      </c>
    </row>
    <row r="17" spans="1:8" ht="14">
      <c r="A17" s="54" t="s">
        <v>203</v>
      </c>
      <c r="B17" s="55" t="s">
        <v>204</v>
      </c>
      <c r="C17" s="55" t="s">
        <v>205</v>
      </c>
      <c r="D17" s="55">
        <v>0</v>
      </c>
      <c r="E17" s="55" t="s">
        <v>223</v>
      </c>
      <c r="F17" s="55" t="s">
        <v>209</v>
      </c>
      <c r="G17" s="55" t="s">
        <v>227</v>
      </c>
      <c r="H17" s="56">
        <v>7.54</v>
      </c>
    </row>
    <row r="18" spans="1:8" ht="14">
      <c r="A18" s="54" t="s">
        <v>203</v>
      </c>
      <c r="B18" s="55" t="s">
        <v>204</v>
      </c>
      <c r="C18" s="55" t="s">
        <v>205</v>
      </c>
      <c r="D18" s="55">
        <v>0</v>
      </c>
      <c r="E18" s="55" t="s">
        <v>228</v>
      </c>
      <c r="F18" s="55" t="s">
        <v>207</v>
      </c>
      <c r="G18" s="55" t="s">
        <v>219</v>
      </c>
      <c r="H18" s="56">
        <v>5.71</v>
      </c>
    </row>
    <row r="19" spans="1:8" ht="14">
      <c r="A19" s="54" t="s">
        <v>203</v>
      </c>
      <c r="B19" s="55" t="s">
        <v>204</v>
      </c>
      <c r="C19" s="55" t="s">
        <v>205</v>
      </c>
      <c r="D19" s="55">
        <v>0</v>
      </c>
      <c r="E19" s="55" t="s">
        <v>228</v>
      </c>
      <c r="F19" s="55" t="s">
        <v>209</v>
      </c>
      <c r="G19" s="55" t="s">
        <v>229</v>
      </c>
      <c r="H19" s="56">
        <v>9.15</v>
      </c>
    </row>
    <row r="20" spans="1:8" ht="14">
      <c r="A20" s="54" t="s">
        <v>203</v>
      </c>
      <c r="B20" s="55" t="s">
        <v>204</v>
      </c>
      <c r="C20" s="55" t="s">
        <v>205</v>
      </c>
      <c r="D20" s="55">
        <v>0</v>
      </c>
      <c r="E20" s="55" t="s">
        <v>228</v>
      </c>
      <c r="F20" s="55" t="s">
        <v>209</v>
      </c>
      <c r="G20" s="55" t="s">
        <v>217</v>
      </c>
      <c r="H20" s="56">
        <v>7.74</v>
      </c>
    </row>
    <row r="21" spans="1:8" ht="14">
      <c r="A21" s="54" t="s">
        <v>203</v>
      </c>
      <c r="B21" s="55" t="s">
        <v>204</v>
      </c>
      <c r="C21" s="55" t="s">
        <v>205</v>
      </c>
      <c r="D21" s="55">
        <v>0</v>
      </c>
      <c r="E21" s="55" t="s">
        <v>228</v>
      </c>
      <c r="F21" s="55" t="s">
        <v>209</v>
      </c>
      <c r="G21" s="55" t="s">
        <v>226</v>
      </c>
      <c r="H21" s="56">
        <v>8.19</v>
      </c>
    </row>
    <row r="22" spans="1:8" ht="14">
      <c r="A22" s="54" t="s">
        <v>203</v>
      </c>
      <c r="B22" s="55" t="s">
        <v>204</v>
      </c>
      <c r="C22" s="55" t="s">
        <v>205</v>
      </c>
      <c r="D22" s="55">
        <v>0</v>
      </c>
      <c r="E22" s="55" t="s">
        <v>230</v>
      </c>
      <c r="F22" s="55" t="s">
        <v>207</v>
      </c>
      <c r="G22" s="55" t="s">
        <v>231</v>
      </c>
      <c r="H22" s="56">
        <v>5.58</v>
      </c>
    </row>
    <row r="23" spans="1:8" ht="14">
      <c r="A23" s="54" t="s">
        <v>203</v>
      </c>
      <c r="B23" s="55" t="s">
        <v>204</v>
      </c>
      <c r="C23" s="55" t="s">
        <v>205</v>
      </c>
      <c r="D23" s="55">
        <v>0</v>
      </c>
      <c r="E23" s="55" t="s">
        <v>230</v>
      </c>
      <c r="F23" s="55" t="s">
        <v>209</v>
      </c>
      <c r="G23" s="55" t="s">
        <v>232</v>
      </c>
      <c r="H23" s="56">
        <v>9.01</v>
      </c>
    </row>
    <row r="24" spans="1:8" ht="14">
      <c r="A24" s="54" t="s">
        <v>203</v>
      </c>
      <c r="B24" s="55" t="s">
        <v>204</v>
      </c>
      <c r="C24" s="55" t="s">
        <v>205</v>
      </c>
      <c r="D24" s="55">
        <v>0</v>
      </c>
      <c r="E24" s="55" t="s">
        <v>233</v>
      </c>
      <c r="F24" s="55" t="s">
        <v>207</v>
      </c>
      <c r="G24" s="55" t="s">
        <v>234</v>
      </c>
      <c r="H24" s="56">
        <v>3.28</v>
      </c>
    </row>
    <row r="25" spans="1:8" ht="14">
      <c r="A25" s="54" t="s">
        <v>203</v>
      </c>
      <c r="B25" s="55" t="s">
        <v>204</v>
      </c>
      <c r="C25" s="55" t="s">
        <v>205</v>
      </c>
      <c r="D25" s="55">
        <v>0</v>
      </c>
      <c r="E25" s="55" t="s">
        <v>233</v>
      </c>
      <c r="F25" s="55" t="s">
        <v>209</v>
      </c>
      <c r="G25" s="55" t="s">
        <v>217</v>
      </c>
      <c r="H25" s="56">
        <v>7.23</v>
      </c>
    </row>
    <row r="26" spans="1:8" ht="14">
      <c r="A26" s="54" t="s">
        <v>203</v>
      </c>
      <c r="B26" s="55" t="s">
        <v>204</v>
      </c>
      <c r="C26" s="55" t="s">
        <v>205</v>
      </c>
      <c r="D26" s="55">
        <v>0</v>
      </c>
      <c r="E26" s="55" t="s">
        <v>233</v>
      </c>
      <c r="F26" s="55" t="s">
        <v>209</v>
      </c>
      <c r="G26" s="55" t="s">
        <v>220</v>
      </c>
      <c r="H26" s="56">
        <v>7.74</v>
      </c>
    </row>
    <row r="27" spans="1:8" ht="14">
      <c r="A27" s="54" t="s">
        <v>203</v>
      </c>
      <c r="B27" s="55" t="s">
        <v>204</v>
      </c>
      <c r="C27" s="55" t="s">
        <v>205</v>
      </c>
      <c r="D27" s="55">
        <v>0</v>
      </c>
      <c r="E27" s="55" t="s">
        <v>235</v>
      </c>
      <c r="F27" s="55" t="s">
        <v>209</v>
      </c>
      <c r="G27" s="55" t="s">
        <v>236</v>
      </c>
      <c r="H27" s="56">
        <v>8.5500000000000007</v>
      </c>
    </row>
    <row r="28" spans="1:8" ht="14">
      <c r="A28" s="54" t="s">
        <v>203</v>
      </c>
      <c r="B28" s="55" t="s">
        <v>204</v>
      </c>
      <c r="C28" s="55" t="s">
        <v>205</v>
      </c>
      <c r="D28" s="55">
        <v>0</v>
      </c>
      <c r="E28" s="55" t="s">
        <v>235</v>
      </c>
      <c r="F28" s="55" t="s">
        <v>209</v>
      </c>
      <c r="G28" s="55" t="s">
        <v>237</v>
      </c>
      <c r="H28" s="56">
        <v>7.99</v>
      </c>
    </row>
    <row r="29" spans="1:8" ht="14">
      <c r="A29" s="54" t="s">
        <v>203</v>
      </c>
      <c r="B29" s="55" t="s">
        <v>204</v>
      </c>
      <c r="C29" s="55" t="s">
        <v>205</v>
      </c>
      <c r="D29" s="55">
        <v>0</v>
      </c>
      <c r="E29" s="55" t="s">
        <v>238</v>
      </c>
      <c r="F29" s="55" t="s">
        <v>209</v>
      </c>
      <c r="G29" s="55" t="s">
        <v>239</v>
      </c>
      <c r="H29" s="56">
        <v>9.3000000000000007</v>
      </c>
    </row>
    <row r="30" spans="1:8" ht="14">
      <c r="A30" s="54" t="s">
        <v>203</v>
      </c>
      <c r="B30" s="55" t="s">
        <v>204</v>
      </c>
      <c r="C30" s="55" t="s">
        <v>205</v>
      </c>
      <c r="D30" s="55">
        <v>0</v>
      </c>
      <c r="E30" s="55" t="s">
        <v>238</v>
      </c>
      <c r="F30" s="55" t="s">
        <v>209</v>
      </c>
      <c r="G30" s="55" t="s">
        <v>240</v>
      </c>
      <c r="H30" s="56">
        <v>8.5299999999999994</v>
      </c>
    </row>
    <row r="31" spans="1:8" ht="14">
      <c r="A31" s="54" t="s">
        <v>203</v>
      </c>
      <c r="B31" s="55" t="s">
        <v>204</v>
      </c>
      <c r="C31" s="55" t="s">
        <v>205</v>
      </c>
      <c r="D31" s="55">
        <v>0</v>
      </c>
      <c r="E31" s="55" t="s">
        <v>241</v>
      </c>
      <c r="F31" s="55" t="s">
        <v>207</v>
      </c>
      <c r="G31" s="55" t="s">
        <v>219</v>
      </c>
      <c r="H31" s="56">
        <v>5.24</v>
      </c>
    </row>
    <row r="32" spans="1:8" ht="14">
      <c r="A32" s="54" t="s">
        <v>203</v>
      </c>
      <c r="B32" s="55" t="s">
        <v>204</v>
      </c>
      <c r="C32" s="55" t="s">
        <v>205</v>
      </c>
      <c r="D32" s="55">
        <v>0</v>
      </c>
      <c r="E32" s="55" t="s">
        <v>241</v>
      </c>
      <c r="F32" s="55" t="s">
        <v>209</v>
      </c>
      <c r="G32" s="55" t="s">
        <v>217</v>
      </c>
      <c r="H32" s="56">
        <v>9.86</v>
      </c>
    </row>
    <row r="33" spans="1:8" ht="14">
      <c r="A33" s="54" t="s">
        <v>203</v>
      </c>
      <c r="B33" s="55" t="s">
        <v>204</v>
      </c>
      <c r="C33" s="55" t="s">
        <v>205</v>
      </c>
      <c r="D33" s="55">
        <v>0</v>
      </c>
      <c r="E33" s="55" t="s">
        <v>241</v>
      </c>
      <c r="F33" s="55" t="s">
        <v>209</v>
      </c>
      <c r="G33" s="55" t="s">
        <v>220</v>
      </c>
      <c r="H33" s="56">
        <v>10.14</v>
      </c>
    </row>
    <row r="34" spans="1:8" ht="14">
      <c r="A34" s="54" t="s">
        <v>203</v>
      </c>
      <c r="B34" s="55" t="s">
        <v>204</v>
      </c>
      <c r="C34" s="55" t="s">
        <v>205</v>
      </c>
      <c r="D34" s="55">
        <v>0</v>
      </c>
      <c r="E34" s="55" t="s">
        <v>241</v>
      </c>
      <c r="F34" s="55" t="s">
        <v>209</v>
      </c>
      <c r="G34" s="55" t="s">
        <v>226</v>
      </c>
      <c r="H34" s="56">
        <v>10.27</v>
      </c>
    </row>
    <row r="35" spans="1:8" ht="14">
      <c r="A35" s="54" t="s">
        <v>203</v>
      </c>
      <c r="B35" s="55" t="s">
        <v>204</v>
      </c>
      <c r="C35" s="55" t="s">
        <v>205</v>
      </c>
      <c r="D35" s="55">
        <v>0</v>
      </c>
      <c r="E35" s="55" t="s">
        <v>241</v>
      </c>
      <c r="F35" s="55" t="s">
        <v>209</v>
      </c>
      <c r="G35" s="55" t="s">
        <v>242</v>
      </c>
      <c r="H35" s="56">
        <v>11.02</v>
      </c>
    </row>
    <row r="36" spans="1:8" ht="14">
      <c r="A36" s="54" t="s">
        <v>203</v>
      </c>
      <c r="B36" s="55" t="s">
        <v>204</v>
      </c>
      <c r="C36" s="55" t="s">
        <v>205</v>
      </c>
      <c r="D36" s="55">
        <v>0</v>
      </c>
      <c r="E36" s="55" t="s">
        <v>243</v>
      </c>
      <c r="F36" s="55" t="s">
        <v>207</v>
      </c>
      <c r="G36" s="55" t="s">
        <v>244</v>
      </c>
      <c r="H36" s="56">
        <v>9.8800000000000008</v>
      </c>
    </row>
    <row r="37" spans="1:8" ht="14">
      <c r="A37" s="54" t="s">
        <v>203</v>
      </c>
      <c r="B37" s="55" t="s">
        <v>204</v>
      </c>
      <c r="C37" s="55" t="s">
        <v>205</v>
      </c>
      <c r="D37" s="55">
        <v>0</v>
      </c>
      <c r="E37" s="55" t="s">
        <v>243</v>
      </c>
      <c r="F37" s="55" t="s">
        <v>209</v>
      </c>
      <c r="G37" s="55" t="s">
        <v>225</v>
      </c>
      <c r="H37" s="56">
        <v>6.69</v>
      </c>
    </row>
    <row r="38" spans="1:8" ht="14">
      <c r="A38" s="54" t="s">
        <v>203</v>
      </c>
      <c r="B38" s="55" t="s">
        <v>204</v>
      </c>
      <c r="C38" s="55" t="s">
        <v>205</v>
      </c>
      <c r="D38" s="55">
        <v>1</v>
      </c>
      <c r="E38" s="55" t="s">
        <v>213</v>
      </c>
      <c r="F38" s="55" t="s">
        <v>207</v>
      </c>
      <c r="G38" s="55" t="s">
        <v>245</v>
      </c>
      <c r="H38" s="56">
        <v>2.81</v>
      </c>
    </row>
    <row r="39" spans="1:8" ht="14">
      <c r="A39" s="54" t="s">
        <v>203</v>
      </c>
      <c r="B39" s="55" t="s">
        <v>204</v>
      </c>
      <c r="C39" s="55" t="s">
        <v>246</v>
      </c>
      <c r="D39" s="55" t="s">
        <v>247</v>
      </c>
      <c r="E39" s="55" t="s">
        <v>248</v>
      </c>
      <c r="F39" s="55" t="s">
        <v>209</v>
      </c>
      <c r="G39" s="55" t="s">
        <v>249</v>
      </c>
      <c r="H39" s="56">
        <v>10.6</v>
      </c>
    </row>
    <row r="40" spans="1:8" ht="14">
      <c r="A40" s="54" t="s">
        <v>203</v>
      </c>
      <c r="B40" s="55" t="s">
        <v>204</v>
      </c>
      <c r="C40" s="55" t="s">
        <v>246</v>
      </c>
      <c r="D40" s="55" t="s">
        <v>247</v>
      </c>
      <c r="E40" s="55" t="s">
        <v>248</v>
      </c>
      <c r="F40" s="55" t="s">
        <v>209</v>
      </c>
      <c r="G40" s="55" t="s">
        <v>232</v>
      </c>
      <c r="H40" s="56">
        <v>9.07</v>
      </c>
    </row>
    <row r="41" spans="1:8" ht="14">
      <c r="A41" s="54" t="s">
        <v>203</v>
      </c>
      <c r="B41" s="55" t="s">
        <v>204</v>
      </c>
      <c r="C41" s="55" t="s">
        <v>246</v>
      </c>
      <c r="D41" s="55" t="s">
        <v>247</v>
      </c>
      <c r="E41" s="55" t="s">
        <v>248</v>
      </c>
      <c r="F41" s="55" t="s">
        <v>209</v>
      </c>
      <c r="G41" s="55" t="s">
        <v>250</v>
      </c>
      <c r="H41" s="56">
        <v>10.09</v>
      </c>
    </row>
    <row r="42" spans="1:8" ht="14">
      <c r="A42" s="54" t="s">
        <v>203</v>
      </c>
      <c r="B42" s="55" t="s">
        <v>204</v>
      </c>
      <c r="C42" s="55" t="s">
        <v>246</v>
      </c>
      <c r="D42" s="55" t="s">
        <v>247</v>
      </c>
      <c r="E42" s="55" t="s">
        <v>248</v>
      </c>
      <c r="F42" s="55" t="s">
        <v>209</v>
      </c>
      <c r="G42" s="55" t="s">
        <v>251</v>
      </c>
      <c r="H42" s="56">
        <v>9.58</v>
      </c>
    </row>
    <row r="43" spans="1:8" ht="14">
      <c r="A43" s="54" t="s">
        <v>203</v>
      </c>
      <c r="B43" s="55" t="s">
        <v>204</v>
      </c>
      <c r="C43" s="55" t="s">
        <v>246</v>
      </c>
      <c r="D43" s="55" t="s">
        <v>247</v>
      </c>
      <c r="E43" s="55" t="s">
        <v>252</v>
      </c>
      <c r="F43" s="55" t="s">
        <v>207</v>
      </c>
      <c r="G43" s="55" t="s">
        <v>219</v>
      </c>
      <c r="H43" s="56">
        <v>5.65</v>
      </c>
    </row>
    <row r="44" spans="1:8" ht="14">
      <c r="A44" s="54" t="s">
        <v>203</v>
      </c>
      <c r="B44" s="55" t="s">
        <v>204</v>
      </c>
      <c r="C44" s="55" t="s">
        <v>246</v>
      </c>
      <c r="D44" s="55" t="s">
        <v>247</v>
      </c>
      <c r="E44" s="55" t="s">
        <v>252</v>
      </c>
      <c r="F44" s="55" t="s">
        <v>209</v>
      </c>
      <c r="G44" s="55" t="s">
        <v>225</v>
      </c>
      <c r="H44" s="56">
        <v>10.09</v>
      </c>
    </row>
    <row r="45" spans="1:8" ht="14">
      <c r="A45" s="54" t="s">
        <v>203</v>
      </c>
      <c r="B45" s="55" t="s">
        <v>204</v>
      </c>
      <c r="C45" s="55" t="s">
        <v>246</v>
      </c>
      <c r="D45" s="55" t="s">
        <v>247</v>
      </c>
      <c r="E45" s="55" t="s">
        <v>252</v>
      </c>
      <c r="F45" s="55" t="s">
        <v>209</v>
      </c>
      <c r="G45" s="55" t="s">
        <v>217</v>
      </c>
      <c r="H45" s="56">
        <v>9.07</v>
      </c>
    </row>
    <row r="46" spans="1:8" ht="14">
      <c r="A46" s="54" t="s">
        <v>203</v>
      </c>
      <c r="B46" s="55" t="s">
        <v>204</v>
      </c>
      <c r="C46" s="55" t="s">
        <v>246</v>
      </c>
      <c r="D46" s="55" t="s">
        <v>247</v>
      </c>
      <c r="E46" s="55" t="s">
        <v>252</v>
      </c>
      <c r="F46" s="55" t="s">
        <v>209</v>
      </c>
      <c r="G46" s="55" t="s">
        <v>220</v>
      </c>
      <c r="H46" s="56">
        <v>9.58</v>
      </c>
    </row>
    <row r="47" spans="1:8" ht="14">
      <c r="A47" s="54" t="s">
        <v>203</v>
      </c>
      <c r="B47" s="55" t="s">
        <v>204</v>
      </c>
      <c r="C47" s="55" t="s">
        <v>246</v>
      </c>
      <c r="D47" s="55" t="s">
        <v>247</v>
      </c>
      <c r="E47" s="55" t="s">
        <v>253</v>
      </c>
      <c r="F47" s="55" t="s">
        <v>207</v>
      </c>
      <c r="G47" s="55" t="s">
        <v>219</v>
      </c>
      <c r="H47" s="56">
        <v>7.15</v>
      </c>
    </row>
    <row r="48" spans="1:8" ht="14">
      <c r="A48" s="54" t="s">
        <v>203</v>
      </c>
      <c r="B48" s="55" t="s">
        <v>204</v>
      </c>
      <c r="C48" s="55" t="s">
        <v>246</v>
      </c>
      <c r="D48" s="55" t="s">
        <v>247</v>
      </c>
      <c r="E48" s="55" t="s">
        <v>253</v>
      </c>
      <c r="F48" s="55" t="s">
        <v>209</v>
      </c>
      <c r="G48" s="55" t="s">
        <v>217</v>
      </c>
      <c r="H48" s="56">
        <v>7.22</v>
      </c>
    </row>
    <row r="49" spans="1:8" ht="14">
      <c r="A49" s="54" t="s">
        <v>203</v>
      </c>
      <c r="B49" s="55" t="s">
        <v>204</v>
      </c>
      <c r="C49" s="55" t="s">
        <v>246</v>
      </c>
      <c r="D49" s="55" t="s">
        <v>247</v>
      </c>
      <c r="E49" s="55" t="s">
        <v>253</v>
      </c>
      <c r="F49" s="55" t="s">
        <v>209</v>
      </c>
      <c r="G49" s="55" t="s">
        <v>220</v>
      </c>
      <c r="H49" s="56">
        <v>7.56</v>
      </c>
    </row>
    <row r="50" spans="1:8" ht="14">
      <c r="A50" s="54" t="s">
        <v>203</v>
      </c>
      <c r="B50" s="55" t="s">
        <v>204</v>
      </c>
      <c r="C50" s="55" t="s">
        <v>246</v>
      </c>
      <c r="D50" s="55" t="s">
        <v>247</v>
      </c>
      <c r="E50" s="55" t="s">
        <v>254</v>
      </c>
      <c r="F50" s="55" t="s">
        <v>207</v>
      </c>
      <c r="G50" s="55" t="s">
        <v>219</v>
      </c>
      <c r="H50" s="56">
        <v>7.15</v>
      </c>
    </row>
    <row r="51" spans="1:8" ht="14">
      <c r="A51" s="54" t="s">
        <v>203</v>
      </c>
      <c r="B51" s="55" t="s">
        <v>204</v>
      </c>
      <c r="C51" s="55" t="s">
        <v>246</v>
      </c>
      <c r="D51" s="55" t="s">
        <v>247</v>
      </c>
      <c r="E51" s="55" t="s">
        <v>254</v>
      </c>
      <c r="F51" s="55" t="s">
        <v>209</v>
      </c>
      <c r="G51" s="55" t="s">
        <v>225</v>
      </c>
      <c r="H51" s="56">
        <v>7.9</v>
      </c>
    </row>
    <row r="52" spans="1:8" ht="14">
      <c r="A52" s="54" t="s">
        <v>203</v>
      </c>
      <c r="B52" s="55" t="s">
        <v>204</v>
      </c>
      <c r="C52" s="55" t="s">
        <v>246</v>
      </c>
      <c r="D52" s="55" t="s">
        <v>247</v>
      </c>
      <c r="E52" s="55" t="s">
        <v>254</v>
      </c>
      <c r="F52" s="55" t="s">
        <v>209</v>
      </c>
      <c r="G52" s="55" t="s">
        <v>220</v>
      </c>
      <c r="H52" s="56">
        <v>7.56</v>
      </c>
    </row>
    <row r="53" spans="1:8" ht="14">
      <c r="A53" s="54" t="s">
        <v>203</v>
      </c>
      <c r="B53" s="55" t="s">
        <v>204</v>
      </c>
      <c r="C53" s="55" t="s">
        <v>246</v>
      </c>
      <c r="D53" s="55" t="s">
        <v>255</v>
      </c>
      <c r="E53" s="55" t="s">
        <v>256</v>
      </c>
      <c r="F53" s="55" t="s">
        <v>209</v>
      </c>
      <c r="G53" s="55" t="s">
        <v>257</v>
      </c>
      <c r="H53" s="56">
        <v>6.64</v>
      </c>
    </row>
    <row r="54" spans="1:8" ht="14">
      <c r="A54" s="54" t="s">
        <v>203</v>
      </c>
      <c r="B54" s="55" t="s">
        <v>204</v>
      </c>
      <c r="C54" s="55" t="s">
        <v>246</v>
      </c>
      <c r="D54" s="55" t="s">
        <v>255</v>
      </c>
      <c r="E54" s="55" t="s">
        <v>256</v>
      </c>
      <c r="F54" s="55" t="s">
        <v>209</v>
      </c>
      <c r="G54" s="55" t="s">
        <v>225</v>
      </c>
      <c r="H54" s="56">
        <v>6.33</v>
      </c>
    </row>
    <row r="55" spans="1:8" ht="14">
      <c r="A55" s="54" t="s">
        <v>203</v>
      </c>
      <c r="B55" s="55" t="s">
        <v>204</v>
      </c>
      <c r="C55" s="55" t="s">
        <v>246</v>
      </c>
      <c r="D55" s="55" t="s">
        <v>255</v>
      </c>
      <c r="E55" s="55" t="s">
        <v>256</v>
      </c>
      <c r="F55" s="55" t="s">
        <v>209</v>
      </c>
      <c r="G55" s="55" t="s">
        <v>258</v>
      </c>
      <c r="H55" s="56">
        <v>6.64</v>
      </c>
    </row>
    <row r="56" spans="1:8" ht="14">
      <c r="A56" s="54" t="s">
        <v>203</v>
      </c>
      <c r="B56" s="55" t="s">
        <v>204</v>
      </c>
      <c r="C56" s="55" t="s">
        <v>246</v>
      </c>
      <c r="D56" s="55" t="s">
        <v>255</v>
      </c>
      <c r="E56" s="55" t="s">
        <v>256</v>
      </c>
      <c r="F56" s="55" t="s">
        <v>209</v>
      </c>
      <c r="G56" s="55" t="s">
        <v>220</v>
      </c>
      <c r="H56" s="56">
        <v>6.64</v>
      </c>
    </row>
    <row r="57" spans="1:8" ht="14">
      <c r="A57" s="54" t="s">
        <v>203</v>
      </c>
      <c r="B57" s="55" t="s">
        <v>204</v>
      </c>
      <c r="C57" s="55" t="s">
        <v>246</v>
      </c>
      <c r="D57" s="55" t="s">
        <v>255</v>
      </c>
      <c r="E57" s="55" t="s">
        <v>259</v>
      </c>
      <c r="F57" s="55" t="s">
        <v>207</v>
      </c>
      <c r="G57" s="55" t="s">
        <v>219</v>
      </c>
      <c r="H57" s="56">
        <v>2.83</v>
      </c>
    </row>
    <row r="58" spans="1:8" ht="14">
      <c r="A58" s="54" t="s">
        <v>203</v>
      </c>
      <c r="B58" s="55" t="s">
        <v>204</v>
      </c>
      <c r="C58" s="55" t="s">
        <v>246</v>
      </c>
      <c r="D58" s="55" t="s">
        <v>255</v>
      </c>
      <c r="E58" s="55" t="s">
        <v>259</v>
      </c>
      <c r="F58" s="55" t="s">
        <v>209</v>
      </c>
      <c r="G58" s="55" t="s">
        <v>217</v>
      </c>
      <c r="H58" s="56">
        <v>5.18</v>
      </c>
    </row>
    <row r="59" spans="1:8" ht="14">
      <c r="A59" s="54" t="s">
        <v>203</v>
      </c>
      <c r="B59" s="55" t="s">
        <v>204</v>
      </c>
      <c r="C59" s="55" t="s">
        <v>246</v>
      </c>
      <c r="D59" s="55" t="s">
        <v>255</v>
      </c>
      <c r="E59" s="55" t="s">
        <v>259</v>
      </c>
      <c r="F59" s="55" t="s">
        <v>209</v>
      </c>
      <c r="G59" s="55" t="s">
        <v>226</v>
      </c>
      <c r="H59" s="56">
        <v>5.35</v>
      </c>
    </row>
    <row r="60" spans="1:8" ht="14">
      <c r="A60" s="54" t="s">
        <v>203</v>
      </c>
      <c r="B60" s="55" t="s">
        <v>204</v>
      </c>
      <c r="C60" s="55" t="s">
        <v>246</v>
      </c>
      <c r="D60" s="55" t="s">
        <v>255</v>
      </c>
      <c r="E60" s="55" t="s">
        <v>260</v>
      </c>
      <c r="F60" s="55" t="s">
        <v>207</v>
      </c>
      <c r="G60" s="55" t="s">
        <v>261</v>
      </c>
      <c r="H60" s="56">
        <v>3.24</v>
      </c>
    </row>
    <row r="61" spans="1:8" ht="14">
      <c r="A61" s="54" t="s">
        <v>203</v>
      </c>
      <c r="B61" s="55" t="s">
        <v>204</v>
      </c>
      <c r="C61" s="55" t="s">
        <v>246</v>
      </c>
      <c r="D61" s="55" t="s">
        <v>255</v>
      </c>
      <c r="E61" s="55" t="s">
        <v>260</v>
      </c>
      <c r="F61" s="55" t="s">
        <v>209</v>
      </c>
      <c r="G61" s="55" t="s">
        <v>262</v>
      </c>
      <c r="H61" s="56">
        <v>5.01</v>
      </c>
    </row>
    <row r="62" spans="1:8" ht="14">
      <c r="A62" s="54" t="s">
        <v>203</v>
      </c>
      <c r="B62" s="55" t="s">
        <v>204</v>
      </c>
      <c r="C62" s="55" t="s">
        <v>246</v>
      </c>
      <c r="D62" s="55" t="s">
        <v>255</v>
      </c>
      <c r="E62" s="55" t="s">
        <v>260</v>
      </c>
      <c r="F62" s="55" t="s">
        <v>209</v>
      </c>
      <c r="G62" s="55" t="s">
        <v>263</v>
      </c>
      <c r="H62" s="56">
        <v>5.18</v>
      </c>
    </row>
    <row r="63" spans="1:8" ht="14">
      <c r="A63" s="54" t="s">
        <v>203</v>
      </c>
      <c r="B63" s="55" t="s">
        <v>204</v>
      </c>
      <c r="C63" s="55" t="s">
        <v>246</v>
      </c>
      <c r="D63" s="55" t="s">
        <v>255</v>
      </c>
      <c r="E63" s="55" t="s">
        <v>264</v>
      </c>
      <c r="F63" s="55" t="s">
        <v>207</v>
      </c>
      <c r="G63" s="55" t="s">
        <v>261</v>
      </c>
      <c r="H63" s="56">
        <v>3.24</v>
      </c>
    </row>
    <row r="64" spans="1:8" ht="14">
      <c r="A64" s="54" t="s">
        <v>203</v>
      </c>
      <c r="B64" s="55" t="s">
        <v>204</v>
      </c>
      <c r="C64" s="55" t="s">
        <v>246</v>
      </c>
      <c r="D64" s="55" t="s">
        <v>255</v>
      </c>
      <c r="E64" s="55" t="s">
        <v>264</v>
      </c>
      <c r="F64" s="55" t="s">
        <v>209</v>
      </c>
      <c r="G64" s="55" t="s">
        <v>262</v>
      </c>
      <c r="H64" s="56">
        <v>5.01</v>
      </c>
    </row>
    <row r="65" spans="1:8" ht="14">
      <c r="A65" s="54" t="s">
        <v>203</v>
      </c>
      <c r="B65" s="55" t="s">
        <v>204</v>
      </c>
      <c r="C65" s="55" t="s">
        <v>246</v>
      </c>
      <c r="D65" s="55" t="s">
        <v>255</v>
      </c>
      <c r="E65" s="55" t="s">
        <v>264</v>
      </c>
      <c r="F65" s="55" t="s">
        <v>209</v>
      </c>
      <c r="G65" s="55" t="s">
        <v>263</v>
      </c>
      <c r="H65" s="56">
        <v>5.18</v>
      </c>
    </row>
    <row r="66" spans="1:8" ht="14">
      <c r="A66" s="54" t="s">
        <v>203</v>
      </c>
      <c r="B66" s="55" t="s">
        <v>204</v>
      </c>
      <c r="C66" s="55" t="s">
        <v>246</v>
      </c>
      <c r="D66" s="55" t="s">
        <v>265</v>
      </c>
      <c r="E66" s="55" t="s">
        <v>266</v>
      </c>
      <c r="F66" s="55" t="s">
        <v>209</v>
      </c>
      <c r="G66" s="55" t="s">
        <v>220</v>
      </c>
      <c r="H66" s="56">
        <v>7.22</v>
      </c>
    </row>
    <row r="67" spans="1:8" ht="14">
      <c r="A67" s="54" t="s">
        <v>203</v>
      </c>
      <c r="B67" s="55" t="s">
        <v>204</v>
      </c>
      <c r="C67" s="55" t="s">
        <v>246</v>
      </c>
      <c r="D67" s="55" t="s">
        <v>265</v>
      </c>
      <c r="E67" s="55" t="s">
        <v>267</v>
      </c>
      <c r="F67" s="55" t="s">
        <v>209</v>
      </c>
      <c r="G67" s="55" t="s">
        <v>220</v>
      </c>
      <c r="H67" s="56">
        <v>8.56</v>
      </c>
    </row>
    <row r="68" spans="1:8" ht="14">
      <c r="A68" s="54" t="s">
        <v>203</v>
      </c>
      <c r="B68" s="55" t="s">
        <v>204</v>
      </c>
      <c r="C68" s="55" t="s">
        <v>246</v>
      </c>
      <c r="D68" s="55" t="s">
        <v>265</v>
      </c>
      <c r="E68" s="55" t="s">
        <v>268</v>
      </c>
      <c r="F68" s="55" t="s">
        <v>207</v>
      </c>
      <c r="G68" s="55" t="s">
        <v>261</v>
      </c>
      <c r="H68" s="56">
        <v>7.48</v>
      </c>
    </row>
    <row r="69" spans="1:8" ht="14">
      <c r="A69" s="54" t="s">
        <v>203</v>
      </c>
      <c r="B69" s="55" t="s">
        <v>204</v>
      </c>
      <c r="C69" s="55" t="s">
        <v>246</v>
      </c>
      <c r="D69" s="55" t="s">
        <v>265</v>
      </c>
      <c r="E69" s="55" t="s">
        <v>268</v>
      </c>
      <c r="F69" s="55" t="s">
        <v>209</v>
      </c>
      <c r="G69" s="55" t="s">
        <v>220</v>
      </c>
      <c r="H69" s="56">
        <v>9.07</v>
      </c>
    </row>
    <row r="70" spans="1:8" ht="14">
      <c r="A70" s="54" t="s">
        <v>203</v>
      </c>
      <c r="B70" s="55" t="s">
        <v>204</v>
      </c>
      <c r="C70" s="55" t="s">
        <v>246</v>
      </c>
      <c r="D70" s="55" t="s">
        <v>265</v>
      </c>
      <c r="E70" s="55" t="s">
        <v>268</v>
      </c>
      <c r="F70" s="55" t="s">
        <v>209</v>
      </c>
      <c r="G70" s="55" t="s">
        <v>262</v>
      </c>
      <c r="H70" s="56">
        <v>8.24</v>
      </c>
    </row>
    <row r="71" spans="1:8" ht="14">
      <c r="A71" s="54" t="s">
        <v>203</v>
      </c>
      <c r="B71" s="55" t="s">
        <v>204</v>
      </c>
      <c r="C71" s="55" t="s">
        <v>246</v>
      </c>
      <c r="D71" s="55" t="s">
        <v>265</v>
      </c>
      <c r="E71" s="55" t="s">
        <v>268</v>
      </c>
      <c r="F71" s="55" t="s">
        <v>209</v>
      </c>
      <c r="G71" s="55" t="s">
        <v>226</v>
      </c>
      <c r="H71" s="56">
        <v>8.56</v>
      </c>
    </row>
    <row r="72" spans="1:8" ht="14">
      <c r="A72" s="54" t="s">
        <v>203</v>
      </c>
      <c r="B72" s="55" t="s">
        <v>204</v>
      </c>
      <c r="C72" s="55" t="s">
        <v>246</v>
      </c>
      <c r="D72" s="55" t="s">
        <v>265</v>
      </c>
      <c r="E72" s="55" t="s">
        <v>269</v>
      </c>
      <c r="F72" s="55" t="s">
        <v>209</v>
      </c>
      <c r="G72" s="55" t="s">
        <v>257</v>
      </c>
      <c r="H72" s="56">
        <v>7.4</v>
      </c>
    </row>
    <row r="73" spans="1:8" ht="14">
      <c r="A73" s="54" t="s">
        <v>203</v>
      </c>
      <c r="B73" s="55" t="s">
        <v>204</v>
      </c>
      <c r="C73" s="55" t="s">
        <v>246</v>
      </c>
      <c r="D73" s="55" t="s">
        <v>265</v>
      </c>
      <c r="E73" s="55" t="s">
        <v>269</v>
      </c>
      <c r="F73" s="55" t="s">
        <v>209</v>
      </c>
      <c r="G73" s="55" t="s">
        <v>225</v>
      </c>
      <c r="H73" s="56">
        <v>7.4</v>
      </c>
    </row>
    <row r="74" spans="1:8" ht="14">
      <c r="A74" s="54" t="s">
        <v>203</v>
      </c>
      <c r="B74" s="55" t="s">
        <v>204</v>
      </c>
      <c r="C74" s="55" t="s">
        <v>246</v>
      </c>
      <c r="D74" s="55" t="s">
        <v>265</v>
      </c>
      <c r="E74" s="55" t="s">
        <v>269</v>
      </c>
      <c r="F74" s="55" t="s">
        <v>209</v>
      </c>
      <c r="G74" s="55" t="s">
        <v>258</v>
      </c>
      <c r="H74" s="56">
        <v>7.4</v>
      </c>
    </row>
    <row r="75" spans="1:8" ht="14">
      <c r="A75" s="54" t="s">
        <v>203</v>
      </c>
      <c r="B75" s="55" t="s">
        <v>204</v>
      </c>
      <c r="C75" s="55" t="s">
        <v>246</v>
      </c>
      <c r="D75" s="55" t="s">
        <v>265</v>
      </c>
      <c r="E75" s="55" t="s">
        <v>269</v>
      </c>
      <c r="F75" s="55" t="s">
        <v>209</v>
      </c>
      <c r="G75" s="55" t="s">
        <v>220</v>
      </c>
      <c r="H75" s="56">
        <v>7.4</v>
      </c>
    </row>
    <row r="76" spans="1:8" ht="14">
      <c r="A76" s="54" t="s">
        <v>203</v>
      </c>
      <c r="B76" s="55" t="s">
        <v>204</v>
      </c>
      <c r="C76" s="55" t="s">
        <v>246</v>
      </c>
      <c r="D76" s="55" t="s">
        <v>265</v>
      </c>
      <c r="E76" s="55" t="s">
        <v>270</v>
      </c>
      <c r="F76" s="55" t="s">
        <v>207</v>
      </c>
      <c r="G76" s="55" t="s">
        <v>261</v>
      </c>
      <c r="H76" s="56">
        <v>6.18</v>
      </c>
    </row>
    <row r="77" spans="1:8" ht="14">
      <c r="A77" s="54" t="s">
        <v>203</v>
      </c>
      <c r="B77" s="55" t="s">
        <v>204</v>
      </c>
      <c r="C77" s="55" t="s">
        <v>246</v>
      </c>
      <c r="D77" s="55" t="s">
        <v>265</v>
      </c>
      <c r="E77" s="55" t="s">
        <v>270</v>
      </c>
      <c r="F77" s="55" t="s">
        <v>209</v>
      </c>
      <c r="G77" s="55" t="s">
        <v>217</v>
      </c>
      <c r="H77" s="56">
        <v>6.54</v>
      </c>
    </row>
    <row r="78" spans="1:8" ht="14">
      <c r="A78" s="54" t="s">
        <v>203</v>
      </c>
      <c r="B78" s="55" t="s">
        <v>204</v>
      </c>
      <c r="C78" s="55" t="s">
        <v>246</v>
      </c>
      <c r="D78" s="55" t="s">
        <v>265</v>
      </c>
      <c r="E78" s="55" t="s">
        <v>270</v>
      </c>
      <c r="F78" s="55" t="s">
        <v>209</v>
      </c>
      <c r="G78" s="55" t="s">
        <v>220</v>
      </c>
      <c r="H78" s="56">
        <v>7.22</v>
      </c>
    </row>
    <row r="79" spans="1:8" ht="14">
      <c r="A79" s="54" t="s">
        <v>203</v>
      </c>
      <c r="B79" s="55" t="s">
        <v>204</v>
      </c>
      <c r="C79" s="55" t="s">
        <v>246</v>
      </c>
      <c r="D79" s="55" t="s">
        <v>265</v>
      </c>
      <c r="E79" s="55" t="s">
        <v>270</v>
      </c>
      <c r="F79" s="55" t="s">
        <v>209</v>
      </c>
      <c r="G79" s="55" t="s">
        <v>226</v>
      </c>
      <c r="H79" s="56">
        <v>6.88</v>
      </c>
    </row>
    <row r="80" spans="1:8" ht="14">
      <c r="A80" s="54" t="s">
        <v>203</v>
      </c>
      <c r="B80" s="55" t="s">
        <v>204</v>
      </c>
      <c r="C80" s="55" t="s">
        <v>246</v>
      </c>
      <c r="D80" s="55" t="s">
        <v>265</v>
      </c>
      <c r="E80" s="55" t="s">
        <v>271</v>
      </c>
      <c r="F80" s="55" t="s">
        <v>207</v>
      </c>
      <c r="G80" s="55" t="s">
        <v>261</v>
      </c>
      <c r="H80" s="56">
        <v>4.2300000000000004</v>
      </c>
    </row>
    <row r="81" spans="1:8" ht="14">
      <c r="A81" s="54" t="s">
        <v>203</v>
      </c>
      <c r="B81" s="55" t="s">
        <v>204</v>
      </c>
      <c r="C81" s="55" t="s">
        <v>246</v>
      </c>
      <c r="D81" s="55" t="s">
        <v>265</v>
      </c>
      <c r="E81" s="55" t="s">
        <v>271</v>
      </c>
      <c r="F81" s="55" t="s">
        <v>209</v>
      </c>
      <c r="G81" s="55" t="s">
        <v>220</v>
      </c>
      <c r="H81" s="56">
        <v>7.56</v>
      </c>
    </row>
    <row r="82" spans="1:8" ht="14">
      <c r="A82" s="54" t="s">
        <v>203</v>
      </c>
      <c r="B82" s="55" t="s">
        <v>204</v>
      </c>
      <c r="C82" s="55" t="s">
        <v>246</v>
      </c>
      <c r="D82" s="55" t="s">
        <v>265</v>
      </c>
      <c r="E82" s="55" t="s">
        <v>271</v>
      </c>
      <c r="F82" s="55" t="s">
        <v>209</v>
      </c>
      <c r="G82" s="55" t="s">
        <v>262</v>
      </c>
      <c r="H82" s="56">
        <v>6.88</v>
      </c>
    </row>
    <row r="83" spans="1:8" ht="14">
      <c r="A83" s="54" t="s">
        <v>203</v>
      </c>
      <c r="B83" s="55" t="s">
        <v>204</v>
      </c>
      <c r="C83" s="55" t="s">
        <v>246</v>
      </c>
      <c r="D83" s="55" t="s">
        <v>265</v>
      </c>
      <c r="E83" s="55" t="s">
        <v>271</v>
      </c>
      <c r="F83" s="55" t="s">
        <v>209</v>
      </c>
      <c r="G83" s="55" t="s">
        <v>226</v>
      </c>
      <c r="H83" s="56">
        <v>7.22</v>
      </c>
    </row>
    <row r="84" spans="1:8" ht="14">
      <c r="A84" s="54" t="s">
        <v>203</v>
      </c>
      <c r="B84" s="55" t="s">
        <v>204</v>
      </c>
      <c r="C84" s="55" t="s">
        <v>246</v>
      </c>
      <c r="D84" s="55" t="s">
        <v>265</v>
      </c>
      <c r="E84" s="55" t="s">
        <v>272</v>
      </c>
      <c r="F84" s="55" t="s">
        <v>207</v>
      </c>
      <c r="G84" s="55" t="s">
        <v>219</v>
      </c>
      <c r="H84" s="56">
        <v>4.3499999999999996</v>
      </c>
    </row>
    <row r="85" spans="1:8" ht="14">
      <c r="A85" s="54" t="s">
        <v>203</v>
      </c>
      <c r="B85" s="55" t="s">
        <v>204</v>
      </c>
      <c r="C85" s="55" t="s">
        <v>246</v>
      </c>
      <c r="D85" s="55" t="s">
        <v>265</v>
      </c>
      <c r="E85" s="55" t="s">
        <v>272</v>
      </c>
      <c r="F85" s="55" t="s">
        <v>209</v>
      </c>
      <c r="G85" s="55" t="s">
        <v>217</v>
      </c>
      <c r="H85" s="56">
        <v>7.22</v>
      </c>
    </row>
    <row r="86" spans="1:8" ht="14">
      <c r="A86" s="54" t="s">
        <v>203</v>
      </c>
      <c r="B86" s="55" t="s">
        <v>204</v>
      </c>
      <c r="C86" s="55" t="s">
        <v>246</v>
      </c>
      <c r="D86" s="55" t="s">
        <v>265</v>
      </c>
      <c r="E86" s="55" t="s">
        <v>272</v>
      </c>
      <c r="F86" s="55" t="s">
        <v>209</v>
      </c>
      <c r="G86" s="55" t="s">
        <v>220</v>
      </c>
      <c r="H86" s="56">
        <v>7.56</v>
      </c>
    </row>
    <row r="87" spans="1:8" ht="14">
      <c r="A87" s="54" t="s">
        <v>203</v>
      </c>
      <c r="B87" s="55" t="s">
        <v>204</v>
      </c>
      <c r="C87" s="55" t="s">
        <v>246</v>
      </c>
      <c r="D87" s="55" t="s">
        <v>265</v>
      </c>
      <c r="E87" s="55" t="s">
        <v>272</v>
      </c>
      <c r="F87" s="55" t="s">
        <v>209</v>
      </c>
      <c r="G87" s="55" t="s">
        <v>242</v>
      </c>
      <c r="H87" s="56">
        <v>7.9</v>
      </c>
    </row>
    <row r="88" spans="1:8" ht="14">
      <c r="A88" s="54" t="s">
        <v>203</v>
      </c>
      <c r="B88" s="55" t="s">
        <v>204</v>
      </c>
      <c r="C88" s="55" t="s">
        <v>246</v>
      </c>
      <c r="D88" s="55" t="s">
        <v>265</v>
      </c>
      <c r="E88" s="55" t="s">
        <v>273</v>
      </c>
      <c r="F88" s="55" t="s">
        <v>207</v>
      </c>
      <c r="G88" s="55" t="s">
        <v>274</v>
      </c>
      <c r="H88" s="56">
        <v>8.1300000000000008</v>
      </c>
    </row>
    <row r="89" spans="1:8" ht="14">
      <c r="A89" s="54" t="s">
        <v>203</v>
      </c>
      <c r="B89" s="55" t="s">
        <v>204</v>
      </c>
      <c r="C89" s="55" t="s">
        <v>246</v>
      </c>
      <c r="D89" s="55" t="s">
        <v>265</v>
      </c>
      <c r="E89" s="55" t="s">
        <v>273</v>
      </c>
      <c r="F89" s="55" t="s">
        <v>209</v>
      </c>
      <c r="G89" s="55" t="s">
        <v>275</v>
      </c>
      <c r="H89" s="56">
        <v>9.66</v>
      </c>
    </row>
    <row r="90" spans="1:8" ht="14">
      <c r="A90" s="54" t="s">
        <v>203</v>
      </c>
      <c r="B90" s="55" t="s">
        <v>204</v>
      </c>
      <c r="C90" s="55" t="s">
        <v>246</v>
      </c>
      <c r="D90" s="55" t="s">
        <v>265</v>
      </c>
      <c r="E90" s="55" t="s">
        <v>273</v>
      </c>
      <c r="F90" s="55" t="s">
        <v>209</v>
      </c>
      <c r="G90" s="55" t="s">
        <v>276</v>
      </c>
      <c r="H90" s="56">
        <v>9.66</v>
      </c>
    </row>
    <row r="91" spans="1:8" ht="14">
      <c r="A91" s="54" t="s">
        <v>203</v>
      </c>
      <c r="B91" s="55" t="s">
        <v>204</v>
      </c>
      <c r="C91" s="55" t="s">
        <v>246</v>
      </c>
      <c r="D91" s="55" t="s">
        <v>265</v>
      </c>
      <c r="E91" s="55" t="s">
        <v>273</v>
      </c>
      <c r="F91" s="55" t="s">
        <v>209</v>
      </c>
      <c r="G91" s="55" t="s">
        <v>277</v>
      </c>
      <c r="H91" s="56">
        <v>9.15</v>
      </c>
    </row>
    <row r="92" spans="1:8" ht="14">
      <c r="A92" s="54" t="s">
        <v>203</v>
      </c>
      <c r="B92" s="55" t="s">
        <v>204</v>
      </c>
      <c r="C92" s="55" t="s">
        <v>246</v>
      </c>
      <c r="D92" s="55" t="s">
        <v>265</v>
      </c>
      <c r="E92" s="55" t="s">
        <v>273</v>
      </c>
      <c r="F92" s="55" t="s">
        <v>209</v>
      </c>
      <c r="G92" s="55" t="s">
        <v>278</v>
      </c>
      <c r="H92" s="56">
        <v>10.130000000000001</v>
      </c>
    </row>
    <row r="93" spans="1:8" ht="14">
      <c r="A93" s="54" t="s">
        <v>203</v>
      </c>
      <c r="B93" s="55" t="s">
        <v>204</v>
      </c>
      <c r="C93" s="55" t="s">
        <v>246</v>
      </c>
      <c r="D93" s="55" t="s">
        <v>265</v>
      </c>
      <c r="E93" s="55" t="s">
        <v>273</v>
      </c>
      <c r="F93" s="55" t="s">
        <v>209</v>
      </c>
      <c r="G93" s="55" t="s">
        <v>240</v>
      </c>
      <c r="H93" s="56">
        <v>9.66</v>
      </c>
    </row>
    <row r="94" spans="1:8" ht="14">
      <c r="A94" s="54" t="s">
        <v>203</v>
      </c>
      <c r="B94" s="55" t="s">
        <v>204</v>
      </c>
      <c r="C94" s="55" t="s">
        <v>246</v>
      </c>
      <c r="D94" s="55" t="s">
        <v>279</v>
      </c>
      <c r="E94" s="55" t="s">
        <v>280</v>
      </c>
      <c r="F94" s="55" t="s">
        <v>209</v>
      </c>
      <c r="G94" s="55" t="s">
        <v>281</v>
      </c>
      <c r="H94" s="56">
        <v>10.09</v>
      </c>
    </row>
    <row r="95" spans="1:8" ht="14">
      <c r="A95" s="54" t="s">
        <v>203</v>
      </c>
      <c r="B95" s="55" t="s">
        <v>204</v>
      </c>
      <c r="C95" s="55" t="s">
        <v>246</v>
      </c>
      <c r="D95" s="55" t="s">
        <v>279</v>
      </c>
      <c r="E95" s="55" t="s">
        <v>280</v>
      </c>
      <c r="F95" s="55" t="s">
        <v>209</v>
      </c>
      <c r="G95" s="55" t="s">
        <v>282</v>
      </c>
      <c r="H95" s="56">
        <v>10.6</v>
      </c>
    </row>
    <row r="96" spans="1:8" ht="14">
      <c r="A96" s="54" t="s">
        <v>203</v>
      </c>
      <c r="B96" s="55" t="s">
        <v>204</v>
      </c>
      <c r="C96" s="55" t="s">
        <v>246</v>
      </c>
      <c r="D96" s="55" t="s">
        <v>279</v>
      </c>
      <c r="E96" s="55" t="s">
        <v>283</v>
      </c>
      <c r="F96" s="55" t="s">
        <v>209</v>
      </c>
      <c r="G96" s="55" t="s">
        <v>217</v>
      </c>
      <c r="H96" s="56">
        <v>8.56</v>
      </c>
    </row>
    <row r="97" spans="1:8" ht="14">
      <c r="A97" s="54" t="s">
        <v>203</v>
      </c>
      <c r="B97" s="55" t="s">
        <v>204</v>
      </c>
      <c r="C97" s="55" t="s">
        <v>246</v>
      </c>
      <c r="D97" s="55" t="s">
        <v>279</v>
      </c>
      <c r="E97" s="55" t="s">
        <v>283</v>
      </c>
      <c r="F97" s="55" t="s">
        <v>209</v>
      </c>
      <c r="G97" s="55" t="s">
        <v>220</v>
      </c>
      <c r="H97" s="56">
        <v>9.07</v>
      </c>
    </row>
    <row r="98" spans="1:8" ht="14">
      <c r="A98" s="54" t="s">
        <v>203</v>
      </c>
      <c r="B98" s="55" t="s">
        <v>204</v>
      </c>
      <c r="C98" s="55" t="s">
        <v>246</v>
      </c>
      <c r="D98" s="55" t="s">
        <v>279</v>
      </c>
      <c r="E98" s="55" t="s">
        <v>283</v>
      </c>
      <c r="F98" s="55" t="s">
        <v>209</v>
      </c>
      <c r="G98" s="55" t="s">
        <v>242</v>
      </c>
      <c r="H98" s="56">
        <v>9.58</v>
      </c>
    </row>
    <row r="99" spans="1:8" ht="14">
      <c r="A99" s="54" t="s">
        <v>203</v>
      </c>
      <c r="B99" s="55" t="s">
        <v>204</v>
      </c>
      <c r="C99" s="55" t="s">
        <v>246</v>
      </c>
      <c r="D99" s="55" t="s">
        <v>284</v>
      </c>
      <c r="E99" s="55" t="s">
        <v>285</v>
      </c>
      <c r="F99" s="55" t="s">
        <v>209</v>
      </c>
      <c r="G99" s="55" t="s">
        <v>217</v>
      </c>
      <c r="H99" s="56">
        <v>12.12</v>
      </c>
    </row>
    <row r="100" spans="1:8" ht="14">
      <c r="A100" s="54" t="s">
        <v>203</v>
      </c>
      <c r="B100" s="55" t="s">
        <v>204</v>
      </c>
      <c r="C100" s="55" t="s">
        <v>246</v>
      </c>
      <c r="D100" s="55" t="s">
        <v>284</v>
      </c>
      <c r="E100" s="55" t="s">
        <v>285</v>
      </c>
      <c r="F100" s="55" t="s">
        <v>209</v>
      </c>
      <c r="G100" s="55" t="s">
        <v>220</v>
      </c>
      <c r="H100" s="56">
        <v>12.62</v>
      </c>
    </row>
    <row r="101" spans="1:8" ht="14">
      <c r="A101" s="54" t="s">
        <v>203</v>
      </c>
      <c r="B101" s="55" t="s">
        <v>204</v>
      </c>
      <c r="C101" s="55" t="s">
        <v>246</v>
      </c>
      <c r="D101" s="55" t="s">
        <v>284</v>
      </c>
      <c r="E101" s="55" t="s">
        <v>285</v>
      </c>
      <c r="F101" s="55" t="s">
        <v>209</v>
      </c>
      <c r="G101" s="55" t="s">
        <v>242</v>
      </c>
      <c r="H101" s="56">
        <v>13.29</v>
      </c>
    </row>
    <row r="102" spans="1:8" ht="14">
      <c r="A102" s="54" t="s">
        <v>203</v>
      </c>
      <c r="B102" s="55" t="s">
        <v>204</v>
      </c>
      <c r="C102" s="55" t="s">
        <v>246</v>
      </c>
      <c r="D102" s="55" t="s">
        <v>284</v>
      </c>
      <c r="E102" s="55" t="s">
        <v>286</v>
      </c>
      <c r="F102" s="55" t="s">
        <v>209</v>
      </c>
      <c r="G102" s="55" t="s">
        <v>217</v>
      </c>
      <c r="H102" s="56">
        <v>11.1</v>
      </c>
    </row>
    <row r="103" spans="1:8" ht="14">
      <c r="A103" s="54" t="s">
        <v>203</v>
      </c>
      <c r="B103" s="55" t="s">
        <v>204</v>
      </c>
      <c r="C103" s="55" t="s">
        <v>246</v>
      </c>
      <c r="D103" s="55" t="s">
        <v>284</v>
      </c>
      <c r="E103" s="55" t="s">
        <v>286</v>
      </c>
      <c r="F103" s="55" t="s">
        <v>209</v>
      </c>
      <c r="G103" s="55" t="s">
        <v>220</v>
      </c>
      <c r="H103" s="56">
        <v>11.61</v>
      </c>
    </row>
    <row r="104" spans="1:8" ht="14">
      <c r="A104" s="54" t="s">
        <v>203</v>
      </c>
      <c r="B104" s="55" t="s">
        <v>204</v>
      </c>
      <c r="C104" s="55" t="s">
        <v>246</v>
      </c>
      <c r="D104" s="55" t="s">
        <v>284</v>
      </c>
      <c r="E104" s="55" t="s">
        <v>286</v>
      </c>
      <c r="F104" s="55" t="s">
        <v>209</v>
      </c>
      <c r="G104" s="55" t="s">
        <v>242</v>
      </c>
      <c r="H104" s="56">
        <v>12.12</v>
      </c>
    </row>
    <row r="105" spans="1:8" ht="14">
      <c r="A105" s="54" t="s">
        <v>203</v>
      </c>
      <c r="B105" s="55" t="s">
        <v>204</v>
      </c>
      <c r="C105" s="55" t="s">
        <v>287</v>
      </c>
      <c r="D105" s="55">
        <v>0</v>
      </c>
      <c r="E105" s="55" t="s">
        <v>288</v>
      </c>
      <c r="F105" s="55" t="s">
        <v>209</v>
      </c>
      <c r="G105" s="55" t="s">
        <v>225</v>
      </c>
      <c r="H105" s="56">
        <v>7.18</v>
      </c>
    </row>
    <row r="106" spans="1:8" ht="14">
      <c r="A106" s="54" t="s">
        <v>203</v>
      </c>
      <c r="B106" s="55" t="s">
        <v>204</v>
      </c>
      <c r="C106" s="55" t="s">
        <v>287</v>
      </c>
      <c r="D106" s="55">
        <v>0</v>
      </c>
      <c r="E106" s="55" t="s">
        <v>289</v>
      </c>
      <c r="F106" s="55" t="s">
        <v>207</v>
      </c>
      <c r="G106" s="55" t="s">
        <v>231</v>
      </c>
      <c r="H106" s="56">
        <v>3.53</v>
      </c>
    </row>
    <row r="107" spans="1:8" ht="14">
      <c r="A107" s="54" t="s">
        <v>203</v>
      </c>
      <c r="B107" s="55" t="s">
        <v>204</v>
      </c>
      <c r="C107" s="55" t="s">
        <v>287</v>
      </c>
      <c r="D107" s="55">
        <v>0</v>
      </c>
      <c r="E107" s="55" t="s">
        <v>289</v>
      </c>
      <c r="F107" s="55" t="s">
        <v>209</v>
      </c>
      <c r="G107" s="55" t="s">
        <v>226</v>
      </c>
      <c r="H107" s="56">
        <v>6.41</v>
      </c>
    </row>
    <row r="108" spans="1:8" ht="14">
      <c r="A108" s="54" t="s">
        <v>203</v>
      </c>
      <c r="B108" s="55" t="s">
        <v>204</v>
      </c>
      <c r="C108" s="55" t="s">
        <v>287</v>
      </c>
      <c r="D108" s="55">
        <v>0</v>
      </c>
      <c r="E108" s="55" t="s">
        <v>290</v>
      </c>
      <c r="F108" s="55" t="s">
        <v>207</v>
      </c>
      <c r="G108" s="55" t="s">
        <v>261</v>
      </c>
      <c r="H108" s="56">
        <v>2.2599999999999998</v>
      </c>
    </row>
    <row r="109" spans="1:8" ht="14">
      <c r="A109" s="54" t="s">
        <v>203</v>
      </c>
      <c r="B109" s="55" t="s">
        <v>204</v>
      </c>
      <c r="C109" s="55" t="s">
        <v>287</v>
      </c>
      <c r="D109" s="55">
        <v>0</v>
      </c>
      <c r="E109" s="55" t="s">
        <v>290</v>
      </c>
      <c r="F109" s="55" t="s">
        <v>209</v>
      </c>
      <c r="G109" s="55" t="s">
        <v>262</v>
      </c>
      <c r="H109" s="56">
        <v>5.27</v>
      </c>
    </row>
    <row r="110" spans="1:8" ht="14">
      <c r="A110" s="54" t="s">
        <v>203</v>
      </c>
      <c r="B110" s="55" t="s">
        <v>204</v>
      </c>
      <c r="C110" s="55" t="s">
        <v>287</v>
      </c>
      <c r="D110" s="55">
        <v>0</v>
      </c>
      <c r="E110" s="55" t="s">
        <v>290</v>
      </c>
      <c r="F110" s="55" t="s">
        <v>209</v>
      </c>
      <c r="G110" s="55" t="s">
        <v>240</v>
      </c>
      <c r="H110" s="56">
        <v>5.58</v>
      </c>
    </row>
    <row r="111" spans="1:8" ht="14">
      <c r="A111" s="54" t="s">
        <v>203</v>
      </c>
      <c r="B111" s="55" t="s">
        <v>204</v>
      </c>
      <c r="C111" s="55" t="s">
        <v>287</v>
      </c>
      <c r="D111" s="55">
        <v>0</v>
      </c>
      <c r="E111" s="55" t="s">
        <v>291</v>
      </c>
      <c r="F111" s="55" t="s">
        <v>207</v>
      </c>
      <c r="G111" s="55" t="s">
        <v>261</v>
      </c>
      <c r="H111" s="56">
        <v>2.4900000000000002</v>
      </c>
    </row>
    <row r="112" spans="1:8" ht="14">
      <c r="A112" s="54" t="s">
        <v>203</v>
      </c>
      <c r="B112" s="55" t="s">
        <v>204</v>
      </c>
      <c r="C112" s="55" t="s">
        <v>287</v>
      </c>
      <c r="D112" s="55">
        <v>0</v>
      </c>
      <c r="E112" s="55" t="s">
        <v>291</v>
      </c>
      <c r="F112" s="55" t="s">
        <v>209</v>
      </c>
      <c r="G112" s="55" t="s">
        <v>262</v>
      </c>
      <c r="H112" s="56">
        <v>5.32</v>
      </c>
    </row>
    <row r="113" spans="1:8" ht="14">
      <c r="A113" s="54" t="s">
        <v>203</v>
      </c>
      <c r="B113" s="55" t="s">
        <v>204</v>
      </c>
      <c r="C113" s="55" t="s">
        <v>287</v>
      </c>
      <c r="D113" s="55">
        <v>0</v>
      </c>
      <c r="E113" s="55" t="s">
        <v>291</v>
      </c>
      <c r="F113" s="55" t="s">
        <v>209</v>
      </c>
      <c r="G113" s="55" t="s">
        <v>226</v>
      </c>
      <c r="H113" s="56">
        <v>5.49</v>
      </c>
    </row>
    <row r="114" spans="1:8" ht="14">
      <c r="A114" s="54" t="s">
        <v>292</v>
      </c>
      <c r="B114" s="55" t="s">
        <v>204</v>
      </c>
      <c r="C114" s="55" t="s">
        <v>205</v>
      </c>
      <c r="D114" s="55">
        <v>0</v>
      </c>
      <c r="E114" s="55" t="s">
        <v>293</v>
      </c>
      <c r="F114" s="55" t="s">
        <v>209</v>
      </c>
      <c r="G114" s="55" t="s">
        <v>294</v>
      </c>
      <c r="H114" s="56">
        <v>11.09</v>
      </c>
    </row>
    <row r="115" spans="1:8" ht="14">
      <c r="A115" s="54" t="s">
        <v>292</v>
      </c>
      <c r="B115" s="55" t="s">
        <v>204</v>
      </c>
      <c r="C115" s="55" t="s">
        <v>205</v>
      </c>
      <c r="D115" s="55">
        <v>0</v>
      </c>
      <c r="E115" s="55" t="s">
        <v>293</v>
      </c>
      <c r="F115" s="55" t="s">
        <v>209</v>
      </c>
      <c r="G115" s="55" t="s">
        <v>295</v>
      </c>
      <c r="H115" s="56">
        <v>8.65</v>
      </c>
    </row>
    <row r="116" spans="1:8" ht="14">
      <c r="A116" s="54" t="s">
        <v>292</v>
      </c>
      <c r="B116" s="55" t="s">
        <v>204</v>
      </c>
      <c r="C116" s="55" t="s">
        <v>205</v>
      </c>
      <c r="D116" s="55">
        <v>0</v>
      </c>
      <c r="E116" s="55" t="s">
        <v>293</v>
      </c>
      <c r="F116" s="55" t="s">
        <v>209</v>
      </c>
      <c r="G116" s="55" t="s">
        <v>296</v>
      </c>
      <c r="H116" s="56">
        <v>9.15</v>
      </c>
    </row>
    <row r="117" spans="1:8" ht="14">
      <c r="A117" s="54" t="s">
        <v>292</v>
      </c>
      <c r="B117" s="55" t="s">
        <v>204</v>
      </c>
      <c r="C117" s="55" t="s">
        <v>205</v>
      </c>
      <c r="D117" s="55">
        <v>0</v>
      </c>
      <c r="E117" s="55" t="s">
        <v>293</v>
      </c>
      <c r="F117" s="55" t="s">
        <v>297</v>
      </c>
      <c r="G117" s="55" t="s">
        <v>298</v>
      </c>
      <c r="H117" s="56">
        <v>12.05</v>
      </c>
    </row>
    <row r="118" spans="1:8" ht="14">
      <c r="A118" s="54" t="s">
        <v>292</v>
      </c>
      <c r="B118" s="55" t="s">
        <v>204</v>
      </c>
      <c r="C118" s="55" t="s">
        <v>205</v>
      </c>
      <c r="D118" s="55">
        <v>0</v>
      </c>
      <c r="E118" s="55" t="s">
        <v>293</v>
      </c>
      <c r="F118" s="55" t="s">
        <v>297</v>
      </c>
      <c r="G118" s="55" t="s">
        <v>299</v>
      </c>
      <c r="H118" s="56">
        <v>16.510000000000002</v>
      </c>
    </row>
    <row r="119" spans="1:8" ht="14">
      <c r="A119" s="54" t="s">
        <v>292</v>
      </c>
      <c r="B119" s="55" t="s">
        <v>204</v>
      </c>
      <c r="C119" s="55" t="s">
        <v>205</v>
      </c>
      <c r="D119" s="55">
        <v>0</v>
      </c>
      <c r="E119" s="55" t="s">
        <v>300</v>
      </c>
      <c r="F119" s="55" t="s">
        <v>207</v>
      </c>
      <c r="G119" s="55" t="s">
        <v>301</v>
      </c>
      <c r="H119" s="56">
        <v>2.2200000000000002</v>
      </c>
    </row>
    <row r="120" spans="1:8" ht="14">
      <c r="A120" s="54" t="s">
        <v>292</v>
      </c>
      <c r="B120" s="55" t="s">
        <v>204</v>
      </c>
      <c r="C120" s="55" t="s">
        <v>205</v>
      </c>
      <c r="D120" s="55">
        <v>0</v>
      </c>
      <c r="E120" s="55" t="s">
        <v>300</v>
      </c>
      <c r="F120" s="55" t="s">
        <v>209</v>
      </c>
      <c r="G120" s="55" t="s">
        <v>302</v>
      </c>
      <c r="H120" s="56">
        <v>4.76</v>
      </c>
    </row>
    <row r="121" spans="1:8" ht="14">
      <c r="A121" s="54" t="s">
        <v>292</v>
      </c>
      <c r="B121" s="55" t="s">
        <v>204</v>
      </c>
      <c r="C121" s="55" t="s">
        <v>205</v>
      </c>
      <c r="D121" s="55">
        <v>0</v>
      </c>
      <c r="E121" s="55" t="s">
        <v>300</v>
      </c>
      <c r="F121" s="55" t="s">
        <v>209</v>
      </c>
      <c r="G121" s="55" t="s">
        <v>303</v>
      </c>
      <c r="H121" s="56">
        <v>4.9000000000000004</v>
      </c>
    </row>
    <row r="122" spans="1:8" ht="14">
      <c r="A122" s="54" t="s">
        <v>292</v>
      </c>
      <c r="B122" s="55" t="s">
        <v>204</v>
      </c>
      <c r="C122" s="55" t="s">
        <v>205</v>
      </c>
      <c r="D122" s="55">
        <v>0</v>
      </c>
      <c r="E122" s="55" t="s">
        <v>300</v>
      </c>
      <c r="F122" s="55" t="s">
        <v>209</v>
      </c>
      <c r="G122" s="55" t="s">
        <v>295</v>
      </c>
      <c r="H122" s="56">
        <v>8.8699999999999992</v>
      </c>
    </row>
    <row r="123" spans="1:8" ht="14">
      <c r="A123" s="54" t="s">
        <v>292</v>
      </c>
      <c r="B123" s="55" t="s">
        <v>204</v>
      </c>
      <c r="C123" s="55" t="s">
        <v>205</v>
      </c>
      <c r="D123" s="55">
        <v>0</v>
      </c>
      <c r="E123" s="55" t="s">
        <v>300</v>
      </c>
      <c r="F123" s="55" t="s">
        <v>297</v>
      </c>
      <c r="G123" s="55" t="s">
        <v>299</v>
      </c>
      <c r="H123" s="56">
        <v>9.7899999999999991</v>
      </c>
    </row>
    <row r="124" spans="1:8" ht="14">
      <c r="A124" s="54" t="s">
        <v>292</v>
      </c>
      <c r="B124" s="55" t="s">
        <v>204</v>
      </c>
      <c r="C124" s="55" t="s">
        <v>205</v>
      </c>
      <c r="D124" s="55">
        <v>0</v>
      </c>
      <c r="E124" s="55" t="s">
        <v>304</v>
      </c>
      <c r="F124" s="55" t="s">
        <v>207</v>
      </c>
      <c r="G124" s="55" t="s">
        <v>305</v>
      </c>
      <c r="H124" s="56">
        <v>4.24</v>
      </c>
    </row>
    <row r="125" spans="1:8" ht="14">
      <c r="A125" s="54" t="s">
        <v>292</v>
      </c>
      <c r="B125" s="55" t="s">
        <v>204</v>
      </c>
      <c r="C125" s="55" t="s">
        <v>205</v>
      </c>
      <c r="D125" s="55">
        <v>0</v>
      </c>
      <c r="E125" s="55" t="s">
        <v>304</v>
      </c>
      <c r="F125" s="55" t="s">
        <v>306</v>
      </c>
      <c r="G125" s="55" t="s">
        <v>307</v>
      </c>
      <c r="H125" s="56">
        <v>28.32</v>
      </c>
    </row>
    <row r="126" spans="1:8" ht="14">
      <c r="A126" s="54" t="s">
        <v>292</v>
      </c>
      <c r="B126" s="55" t="s">
        <v>204</v>
      </c>
      <c r="C126" s="55" t="s">
        <v>205</v>
      </c>
      <c r="D126" s="55">
        <v>0</v>
      </c>
      <c r="E126" s="55" t="s">
        <v>304</v>
      </c>
      <c r="F126" s="55" t="s">
        <v>306</v>
      </c>
      <c r="G126" s="55" t="s">
        <v>308</v>
      </c>
      <c r="H126" s="56">
        <v>10.78</v>
      </c>
    </row>
    <row r="127" spans="1:8" ht="14">
      <c r="A127" s="54" t="s">
        <v>292</v>
      </c>
      <c r="B127" s="55" t="s">
        <v>204</v>
      </c>
      <c r="C127" s="55" t="s">
        <v>205</v>
      </c>
      <c r="D127" s="55">
        <v>0</v>
      </c>
      <c r="E127" s="55" t="s">
        <v>304</v>
      </c>
      <c r="F127" s="55" t="s">
        <v>209</v>
      </c>
      <c r="G127" s="55" t="s">
        <v>309</v>
      </c>
      <c r="H127" s="56">
        <v>5.83</v>
      </c>
    </row>
    <row r="128" spans="1:8" ht="14">
      <c r="A128" s="54" t="s">
        <v>292</v>
      </c>
      <c r="B128" s="55" t="s">
        <v>204</v>
      </c>
      <c r="C128" s="55" t="s">
        <v>205</v>
      </c>
      <c r="D128" s="55">
        <v>0</v>
      </c>
      <c r="E128" s="55" t="s">
        <v>304</v>
      </c>
      <c r="F128" s="55" t="s">
        <v>209</v>
      </c>
      <c r="G128" s="55" t="s">
        <v>310</v>
      </c>
      <c r="H128" s="56">
        <v>6.13</v>
      </c>
    </row>
    <row r="129" spans="1:8" ht="14">
      <c r="A129" s="54" t="s">
        <v>292</v>
      </c>
      <c r="B129" s="55" t="s">
        <v>204</v>
      </c>
      <c r="C129" s="55" t="s">
        <v>205</v>
      </c>
      <c r="D129" s="55">
        <v>0</v>
      </c>
      <c r="E129" s="55" t="s">
        <v>304</v>
      </c>
      <c r="F129" s="55" t="s">
        <v>209</v>
      </c>
      <c r="G129" s="55" t="s">
        <v>311</v>
      </c>
      <c r="H129" s="56">
        <v>16.28</v>
      </c>
    </row>
    <row r="130" spans="1:8" ht="14">
      <c r="A130" s="54" t="s">
        <v>292</v>
      </c>
      <c r="B130" s="55" t="s">
        <v>204</v>
      </c>
      <c r="C130" s="55" t="s">
        <v>205</v>
      </c>
      <c r="D130" s="55">
        <v>0</v>
      </c>
      <c r="E130" s="55" t="s">
        <v>304</v>
      </c>
      <c r="F130" s="55" t="s">
        <v>297</v>
      </c>
      <c r="G130" s="55" t="s">
        <v>299</v>
      </c>
      <c r="H130" s="56">
        <v>17.72</v>
      </c>
    </row>
    <row r="131" spans="1:8" ht="14">
      <c r="A131" s="54" t="s">
        <v>292</v>
      </c>
      <c r="B131" s="55" t="s">
        <v>204</v>
      </c>
      <c r="C131" s="55" t="s">
        <v>205</v>
      </c>
      <c r="D131" s="55">
        <v>0</v>
      </c>
      <c r="E131" s="55" t="s">
        <v>312</v>
      </c>
      <c r="F131" s="55" t="s">
        <v>207</v>
      </c>
      <c r="G131" s="55" t="s">
        <v>313</v>
      </c>
      <c r="H131" s="56">
        <v>5.51</v>
      </c>
    </row>
    <row r="132" spans="1:8" ht="14">
      <c r="A132" s="54" t="s">
        <v>292</v>
      </c>
      <c r="B132" s="55" t="s">
        <v>204</v>
      </c>
      <c r="C132" s="55" t="s">
        <v>205</v>
      </c>
      <c r="D132" s="55">
        <v>0</v>
      </c>
      <c r="E132" s="55" t="s">
        <v>312</v>
      </c>
      <c r="F132" s="55" t="s">
        <v>209</v>
      </c>
      <c r="G132" s="55" t="s">
        <v>314</v>
      </c>
      <c r="H132" s="56">
        <v>9.58</v>
      </c>
    </row>
    <row r="133" spans="1:8" ht="14">
      <c r="A133" s="54" t="s">
        <v>292</v>
      </c>
      <c r="B133" s="55" t="s">
        <v>204</v>
      </c>
      <c r="C133" s="55" t="s">
        <v>205</v>
      </c>
      <c r="D133" s="55">
        <v>0</v>
      </c>
      <c r="E133" s="55" t="s">
        <v>312</v>
      </c>
      <c r="F133" s="55" t="s">
        <v>209</v>
      </c>
      <c r="G133" s="55" t="s">
        <v>315</v>
      </c>
      <c r="H133" s="56">
        <v>7.73</v>
      </c>
    </row>
    <row r="134" spans="1:8" ht="14">
      <c r="A134" s="54" t="s">
        <v>292</v>
      </c>
      <c r="B134" s="55" t="s">
        <v>204</v>
      </c>
      <c r="C134" s="55" t="s">
        <v>205</v>
      </c>
      <c r="D134" s="55">
        <v>0</v>
      </c>
      <c r="E134" s="55" t="s">
        <v>312</v>
      </c>
      <c r="F134" s="55" t="s">
        <v>209</v>
      </c>
      <c r="G134" s="55" t="s">
        <v>316</v>
      </c>
      <c r="H134" s="56">
        <v>10.26</v>
      </c>
    </row>
    <row r="135" spans="1:8" ht="14">
      <c r="A135" s="54" t="s">
        <v>292</v>
      </c>
      <c r="B135" s="55" t="s">
        <v>204</v>
      </c>
      <c r="C135" s="55" t="s">
        <v>205</v>
      </c>
      <c r="D135" s="55">
        <v>0</v>
      </c>
      <c r="E135" s="55" t="s">
        <v>312</v>
      </c>
      <c r="F135" s="55" t="s">
        <v>209</v>
      </c>
      <c r="G135" s="55" t="s">
        <v>239</v>
      </c>
      <c r="H135" s="56">
        <v>8.26</v>
      </c>
    </row>
    <row r="136" spans="1:8" ht="14">
      <c r="A136" s="54" t="s">
        <v>292</v>
      </c>
      <c r="B136" s="55" t="s">
        <v>204</v>
      </c>
      <c r="C136" s="55" t="s">
        <v>205</v>
      </c>
      <c r="D136" s="55">
        <v>0</v>
      </c>
      <c r="E136" s="55" t="s">
        <v>312</v>
      </c>
      <c r="F136" s="55" t="s">
        <v>209</v>
      </c>
      <c r="G136" s="55" t="s">
        <v>317</v>
      </c>
      <c r="H136" s="56">
        <v>9.15</v>
      </c>
    </row>
    <row r="137" spans="1:8" ht="14">
      <c r="A137" s="54" t="s">
        <v>292</v>
      </c>
      <c r="B137" s="55" t="s">
        <v>204</v>
      </c>
      <c r="C137" s="55" t="s">
        <v>205</v>
      </c>
      <c r="D137" s="55">
        <v>0</v>
      </c>
      <c r="E137" s="55" t="s">
        <v>312</v>
      </c>
      <c r="F137" s="55" t="s">
        <v>297</v>
      </c>
      <c r="G137" s="55" t="s">
        <v>318</v>
      </c>
      <c r="H137" s="56">
        <v>14.14</v>
      </c>
    </row>
    <row r="138" spans="1:8" ht="14">
      <c r="A138" s="54" t="s">
        <v>292</v>
      </c>
      <c r="B138" s="55" t="s">
        <v>204</v>
      </c>
      <c r="C138" s="55" t="s">
        <v>205</v>
      </c>
      <c r="D138" s="55">
        <v>0</v>
      </c>
      <c r="E138" s="55" t="s">
        <v>319</v>
      </c>
      <c r="F138" s="55" t="s">
        <v>207</v>
      </c>
      <c r="G138" s="55" t="s">
        <v>320</v>
      </c>
      <c r="H138" s="56">
        <v>3.9</v>
      </c>
    </row>
    <row r="139" spans="1:8" ht="14">
      <c r="A139" s="54" t="s">
        <v>292</v>
      </c>
      <c r="B139" s="55" t="s">
        <v>204</v>
      </c>
      <c r="C139" s="55" t="s">
        <v>205</v>
      </c>
      <c r="D139" s="55">
        <v>0</v>
      </c>
      <c r="E139" s="55" t="s">
        <v>319</v>
      </c>
      <c r="F139" s="55" t="s">
        <v>209</v>
      </c>
      <c r="G139" s="55" t="s">
        <v>321</v>
      </c>
      <c r="H139" s="56">
        <v>9.08</v>
      </c>
    </row>
    <row r="140" spans="1:8" ht="14">
      <c r="A140" s="54" t="s">
        <v>292</v>
      </c>
      <c r="B140" s="55" t="s">
        <v>204</v>
      </c>
      <c r="C140" s="55" t="s">
        <v>205</v>
      </c>
      <c r="D140" s="55">
        <v>0</v>
      </c>
      <c r="E140" s="55" t="s">
        <v>319</v>
      </c>
      <c r="F140" s="55" t="s">
        <v>209</v>
      </c>
      <c r="G140" s="55" t="s">
        <v>322</v>
      </c>
      <c r="H140" s="56">
        <v>6.55</v>
      </c>
    </row>
    <row r="141" spans="1:8" ht="14">
      <c r="A141" s="54" t="s">
        <v>292</v>
      </c>
      <c r="B141" s="55" t="s">
        <v>204</v>
      </c>
      <c r="C141" s="55" t="s">
        <v>205</v>
      </c>
      <c r="D141" s="55">
        <v>0</v>
      </c>
      <c r="E141" s="55" t="s">
        <v>319</v>
      </c>
      <c r="F141" s="55" t="s">
        <v>209</v>
      </c>
      <c r="G141" s="55" t="s">
        <v>294</v>
      </c>
      <c r="H141" s="56">
        <v>14.77</v>
      </c>
    </row>
    <row r="142" spans="1:8" ht="14">
      <c r="A142" s="54" t="s">
        <v>292</v>
      </c>
      <c r="B142" s="55" t="s">
        <v>204</v>
      </c>
      <c r="C142" s="55" t="s">
        <v>205</v>
      </c>
      <c r="D142" s="55">
        <v>0</v>
      </c>
      <c r="E142" s="55" t="s">
        <v>319</v>
      </c>
      <c r="F142" s="55" t="s">
        <v>209</v>
      </c>
      <c r="G142" s="55" t="s">
        <v>323</v>
      </c>
      <c r="H142" s="56">
        <v>6.55</v>
      </c>
    </row>
    <row r="143" spans="1:8" ht="14">
      <c r="A143" s="54" t="s">
        <v>292</v>
      </c>
      <c r="B143" s="55" t="s">
        <v>204</v>
      </c>
      <c r="C143" s="55" t="s">
        <v>205</v>
      </c>
      <c r="D143" s="55">
        <v>0</v>
      </c>
      <c r="E143" s="55" t="s">
        <v>319</v>
      </c>
      <c r="F143" s="55" t="s">
        <v>297</v>
      </c>
      <c r="G143" s="55" t="s">
        <v>301</v>
      </c>
      <c r="H143" s="56">
        <v>9.58</v>
      </c>
    </row>
    <row r="144" spans="1:8" ht="14">
      <c r="A144" s="54" t="s">
        <v>292</v>
      </c>
      <c r="B144" s="55" t="s">
        <v>204</v>
      </c>
      <c r="C144" s="55" t="s">
        <v>205</v>
      </c>
      <c r="D144" s="55">
        <v>0</v>
      </c>
      <c r="E144" s="55" t="s">
        <v>324</v>
      </c>
      <c r="F144" s="55" t="s">
        <v>209</v>
      </c>
      <c r="G144" s="55" t="s">
        <v>325</v>
      </c>
      <c r="H144" s="56">
        <v>8.35</v>
      </c>
    </row>
    <row r="145" spans="1:8" ht="14">
      <c r="A145" s="54" t="s">
        <v>292</v>
      </c>
      <c r="B145" s="55" t="s">
        <v>204</v>
      </c>
      <c r="C145" s="55" t="s">
        <v>205</v>
      </c>
      <c r="D145" s="55">
        <v>0</v>
      </c>
      <c r="E145" s="55" t="s">
        <v>324</v>
      </c>
      <c r="F145" s="55" t="s">
        <v>209</v>
      </c>
      <c r="G145" s="55" t="s">
        <v>326</v>
      </c>
      <c r="H145" s="56">
        <v>8.9</v>
      </c>
    </row>
    <row r="146" spans="1:8" ht="14">
      <c r="A146" s="54" t="s">
        <v>292</v>
      </c>
      <c r="B146" s="55" t="s">
        <v>204</v>
      </c>
      <c r="C146" s="55" t="s">
        <v>205</v>
      </c>
      <c r="D146" s="55">
        <v>0</v>
      </c>
      <c r="E146" s="55" t="s">
        <v>324</v>
      </c>
      <c r="F146" s="55" t="s">
        <v>209</v>
      </c>
      <c r="G146" s="55" t="s">
        <v>327</v>
      </c>
      <c r="H146" s="56">
        <v>8.9600000000000009</v>
      </c>
    </row>
    <row r="147" spans="1:8" ht="14">
      <c r="A147" s="54" t="s">
        <v>292</v>
      </c>
      <c r="B147" s="55" t="s">
        <v>204</v>
      </c>
      <c r="C147" s="55" t="s">
        <v>205</v>
      </c>
      <c r="D147" s="55">
        <v>0</v>
      </c>
      <c r="E147" s="55" t="s">
        <v>324</v>
      </c>
      <c r="F147" s="55" t="s">
        <v>209</v>
      </c>
      <c r="G147" s="55" t="s">
        <v>328</v>
      </c>
      <c r="H147" s="56">
        <v>9.8699999999999992</v>
      </c>
    </row>
    <row r="148" spans="1:8" ht="14">
      <c r="A148" s="54" t="s">
        <v>292</v>
      </c>
      <c r="B148" s="55" t="s">
        <v>204</v>
      </c>
      <c r="C148" s="55" t="s">
        <v>205</v>
      </c>
      <c r="D148" s="55">
        <v>0</v>
      </c>
      <c r="E148" s="55" t="s">
        <v>324</v>
      </c>
      <c r="F148" s="55" t="s">
        <v>297</v>
      </c>
      <c r="G148" s="57" t="s">
        <v>329</v>
      </c>
      <c r="H148" s="56">
        <v>17.77</v>
      </c>
    </row>
    <row r="149" spans="1:8" ht="14">
      <c r="A149" s="54" t="s">
        <v>292</v>
      </c>
      <c r="B149" s="55" t="s">
        <v>204</v>
      </c>
      <c r="C149" s="55" t="s">
        <v>205</v>
      </c>
      <c r="D149" s="55">
        <v>0</v>
      </c>
      <c r="E149" s="55" t="s">
        <v>330</v>
      </c>
      <c r="F149" s="55" t="s">
        <v>209</v>
      </c>
      <c r="G149" s="55" t="s">
        <v>295</v>
      </c>
      <c r="H149" s="56">
        <v>8.84</v>
      </c>
    </row>
    <row r="150" spans="1:8" ht="14">
      <c r="A150" s="54" t="s">
        <v>292</v>
      </c>
      <c r="B150" s="55" t="s">
        <v>204</v>
      </c>
      <c r="C150" s="55" t="s">
        <v>205</v>
      </c>
      <c r="D150" s="55">
        <v>0</v>
      </c>
      <c r="E150" s="55" t="s">
        <v>330</v>
      </c>
      <c r="F150" s="55" t="s">
        <v>209</v>
      </c>
      <c r="G150" s="55" t="s">
        <v>296</v>
      </c>
      <c r="H150" s="56">
        <v>8.5299999999999994</v>
      </c>
    </row>
    <row r="151" spans="1:8" ht="14">
      <c r="A151" s="54" t="s">
        <v>292</v>
      </c>
      <c r="B151" s="55" t="s">
        <v>204</v>
      </c>
      <c r="C151" s="55" t="s">
        <v>205</v>
      </c>
      <c r="D151" s="55">
        <v>0</v>
      </c>
      <c r="E151" s="55" t="s">
        <v>330</v>
      </c>
      <c r="F151" s="55" t="s">
        <v>297</v>
      </c>
      <c r="G151" s="55" t="s">
        <v>208</v>
      </c>
      <c r="H151" s="56">
        <v>10.97</v>
      </c>
    </row>
    <row r="152" spans="1:8" ht="14">
      <c r="A152" s="54" t="s">
        <v>292</v>
      </c>
      <c r="B152" s="55" t="s">
        <v>204</v>
      </c>
      <c r="C152" s="55" t="s">
        <v>205</v>
      </c>
      <c r="D152" s="55">
        <v>0</v>
      </c>
      <c r="E152" s="55" t="s">
        <v>330</v>
      </c>
      <c r="F152" s="55" t="s">
        <v>297</v>
      </c>
      <c r="G152" s="55" t="s">
        <v>299</v>
      </c>
      <c r="H152" s="56">
        <v>6.73</v>
      </c>
    </row>
    <row r="153" spans="1:8" ht="14">
      <c r="A153" s="54" t="s">
        <v>292</v>
      </c>
      <c r="B153" s="55" t="s">
        <v>204</v>
      </c>
      <c r="C153" s="55" t="s">
        <v>205</v>
      </c>
      <c r="D153" s="55">
        <v>0</v>
      </c>
      <c r="E153" s="55" t="s">
        <v>331</v>
      </c>
      <c r="F153" s="55" t="s">
        <v>306</v>
      </c>
      <c r="G153" s="55" t="s">
        <v>308</v>
      </c>
      <c r="H153" s="56">
        <v>9.1300000000000008</v>
      </c>
    </row>
    <row r="154" spans="1:8" ht="14">
      <c r="A154" s="54" t="s">
        <v>292</v>
      </c>
      <c r="B154" s="55" t="s">
        <v>204</v>
      </c>
      <c r="C154" s="55" t="s">
        <v>205</v>
      </c>
      <c r="D154" s="55">
        <v>0</v>
      </c>
      <c r="E154" s="55" t="s">
        <v>331</v>
      </c>
      <c r="F154" s="55" t="s">
        <v>209</v>
      </c>
      <c r="G154" s="55" t="s">
        <v>332</v>
      </c>
      <c r="H154" s="56">
        <v>15.92</v>
      </c>
    </row>
    <row r="155" spans="1:8" ht="14">
      <c r="A155" s="54" t="s">
        <v>292</v>
      </c>
      <c r="B155" s="55" t="s">
        <v>204</v>
      </c>
      <c r="C155" s="55" t="s">
        <v>205</v>
      </c>
      <c r="D155" s="55">
        <v>0</v>
      </c>
      <c r="E155" s="55" t="s">
        <v>333</v>
      </c>
      <c r="F155" s="55" t="s">
        <v>207</v>
      </c>
      <c r="G155" s="55" t="s">
        <v>219</v>
      </c>
      <c r="H155" s="56">
        <v>2.4700000000000002</v>
      </c>
    </row>
    <row r="156" spans="1:8" ht="14">
      <c r="A156" s="54" t="s">
        <v>292</v>
      </c>
      <c r="B156" s="55" t="s">
        <v>204</v>
      </c>
      <c r="C156" s="55" t="s">
        <v>205</v>
      </c>
      <c r="D156" s="55">
        <v>0</v>
      </c>
      <c r="E156" s="55" t="s">
        <v>333</v>
      </c>
      <c r="F156" s="55" t="s">
        <v>209</v>
      </c>
      <c r="G156" s="55" t="s">
        <v>294</v>
      </c>
      <c r="H156" s="56">
        <v>11.1</v>
      </c>
    </row>
    <row r="157" spans="1:8" ht="14">
      <c r="A157" s="54" t="s">
        <v>292</v>
      </c>
      <c r="B157" s="55" t="s">
        <v>204</v>
      </c>
      <c r="C157" s="55" t="s">
        <v>205</v>
      </c>
      <c r="D157" s="55">
        <v>0</v>
      </c>
      <c r="E157" s="55" t="s">
        <v>333</v>
      </c>
      <c r="F157" s="55" t="s">
        <v>209</v>
      </c>
      <c r="G157" s="55" t="s">
        <v>217</v>
      </c>
      <c r="H157" s="56">
        <v>4.6500000000000004</v>
      </c>
    </row>
    <row r="158" spans="1:8" ht="14">
      <c r="A158" s="54" t="s">
        <v>292</v>
      </c>
      <c r="B158" s="55" t="s">
        <v>204</v>
      </c>
      <c r="C158" s="55" t="s">
        <v>205</v>
      </c>
      <c r="D158" s="55">
        <v>0</v>
      </c>
      <c r="E158" s="55" t="s">
        <v>333</v>
      </c>
      <c r="F158" s="55" t="s">
        <v>209</v>
      </c>
      <c r="G158" s="55" t="s">
        <v>334</v>
      </c>
      <c r="H158" s="56">
        <v>10.38</v>
      </c>
    </row>
    <row r="159" spans="1:8" ht="14">
      <c r="A159" s="54" t="s">
        <v>292</v>
      </c>
      <c r="B159" s="55" t="s">
        <v>204</v>
      </c>
      <c r="C159" s="55" t="s">
        <v>205</v>
      </c>
      <c r="D159" s="55">
        <v>0</v>
      </c>
      <c r="E159" s="55" t="s">
        <v>333</v>
      </c>
      <c r="F159" s="55" t="s">
        <v>209</v>
      </c>
      <c r="G159" s="55" t="s">
        <v>226</v>
      </c>
      <c r="H159" s="56">
        <v>4.72</v>
      </c>
    </row>
    <row r="160" spans="1:8" ht="14">
      <c r="A160" s="54" t="s">
        <v>292</v>
      </c>
      <c r="B160" s="55" t="s">
        <v>204</v>
      </c>
      <c r="C160" s="55" t="s">
        <v>205</v>
      </c>
      <c r="D160" s="55">
        <v>0</v>
      </c>
      <c r="E160" s="55" t="s">
        <v>333</v>
      </c>
      <c r="F160" s="55" t="s">
        <v>209</v>
      </c>
      <c r="G160" s="55" t="s">
        <v>332</v>
      </c>
      <c r="H160" s="56">
        <v>9.76</v>
      </c>
    </row>
    <row r="161" spans="1:8" ht="14">
      <c r="A161" s="54" t="s">
        <v>292</v>
      </c>
      <c r="B161" s="55" t="s">
        <v>204</v>
      </c>
      <c r="C161" s="55" t="s">
        <v>205</v>
      </c>
      <c r="D161" s="55">
        <v>0</v>
      </c>
      <c r="E161" s="55" t="s">
        <v>333</v>
      </c>
      <c r="F161" s="55" t="s">
        <v>209</v>
      </c>
      <c r="G161" s="55" t="s">
        <v>295</v>
      </c>
      <c r="H161" s="56">
        <v>8.6300000000000008</v>
      </c>
    </row>
    <row r="162" spans="1:8" ht="14">
      <c r="A162" s="54" t="s">
        <v>292</v>
      </c>
      <c r="B162" s="55" t="s">
        <v>204</v>
      </c>
      <c r="C162" s="55" t="s">
        <v>205</v>
      </c>
      <c r="D162" s="55">
        <v>0</v>
      </c>
      <c r="E162" s="55" t="s">
        <v>333</v>
      </c>
      <c r="F162" s="55" t="s">
        <v>209</v>
      </c>
      <c r="G162" s="55" t="s">
        <v>296</v>
      </c>
      <c r="H162" s="56">
        <v>8.49</v>
      </c>
    </row>
    <row r="163" spans="1:8" ht="14">
      <c r="A163" s="54" t="s">
        <v>292</v>
      </c>
      <c r="B163" s="55" t="s">
        <v>204</v>
      </c>
      <c r="C163" s="55" t="s">
        <v>205</v>
      </c>
      <c r="D163" s="55">
        <v>0</v>
      </c>
      <c r="E163" s="55" t="s">
        <v>333</v>
      </c>
      <c r="F163" s="55" t="s">
        <v>297</v>
      </c>
      <c r="G163" s="55" t="s">
        <v>301</v>
      </c>
      <c r="H163" s="56">
        <v>9.1199999999999992</v>
      </c>
    </row>
    <row r="164" spans="1:8" ht="14">
      <c r="A164" s="54" t="s">
        <v>292</v>
      </c>
      <c r="B164" s="55" t="s">
        <v>204</v>
      </c>
      <c r="C164" s="55" t="s">
        <v>205</v>
      </c>
      <c r="D164" s="55">
        <v>0</v>
      </c>
      <c r="E164" s="55" t="s">
        <v>335</v>
      </c>
      <c r="F164" s="55" t="s">
        <v>207</v>
      </c>
      <c r="G164" s="55" t="s">
        <v>219</v>
      </c>
      <c r="H164" s="56">
        <v>3.25</v>
      </c>
    </row>
    <row r="165" spans="1:8" ht="14">
      <c r="A165" s="54" t="s">
        <v>292</v>
      </c>
      <c r="B165" s="55" t="s">
        <v>204</v>
      </c>
      <c r="C165" s="55" t="s">
        <v>205</v>
      </c>
      <c r="D165" s="55">
        <v>0</v>
      </c>
      <c r="E165" s="55" t="s">
        <v>335</v>
      </c>
      <c r="F165" s="55" t="s">
        <v>306</v>
      </c>
      <c r="G165" s="55" t="s">
        <v>308</v>
      </c>
      <c r="H165" s="56">
        <v>9.07</v>
      </c>
    </row>
    <row r="166" spans="1:8" ht="14">
      <c r="A166" s="54" t="s">
        <v>292</v>
      </c>
      <c r="B166" s="55" t="s">
        <v>204</v>
      </c>
      <c r="C166" s="55" t="s">
        <v>205</v>
      </c>
      <c r="D166" s="55">
        <v>0</v>
      </c>
      <c r="E166" s="55" t="s">
        <v>335</v>
      </c>
      <c r="F166" s="55" t="s">
        <v>209</v>
      </c>
      <c r="G166" s="55" t="s">
        <v>262</v>
      </c>
      <c r="H166" s="56">
        <v>5.54</v>
      </c>
    </row>
    <row r="167" spans="1:8" ht="14">
      <c r="A167" s="54" t="s">
        <v>292</v>
      </c>
      <c r="B167" s="55" t="s">
        <v>204</v>
      </c>
      <c r="C167" s="55" t="s">
        <v>205</v>
      </c>
      <c r="D167" s="55">
        <v>0</v>
      </c>
      <c r="E167" s="55" t="s">
        <v>335</v>
      </c>
      <c r="F167" s="55" t="s">
        <v>209</v>
      </c>
      <c r="G167" s="55" t="s">
        <v>239</v>
      </c>
      <c r="H167" s="56">
        <v>5.9</v>
      </c>
    </row>
    <row r="168" spans="1:8" ht="14">
      <c r="A168" s="54" t="s">
        <v>292</v>
      </c>
      <c r="B168" s="55" t="s">
        <v>204</v>
      </c>
      <c r="C168" s="55" t="s">
        <v>205</v>
      </c>
      <c r="D168" s="55">
        <v>0</v>
      </c>
      <c r="E168" s="55" t="s">
        <v>335</v>
      </c>
      <c r="F168" s="55" t="s">
        <v>209</v>
      </c>
      <c r="G168" s="55" t="s">
        <v>311</v>
      </c>
      <c r="H168" s="56">
        <v>10.72</v>
      </c>
    </row>
    <row r="169" spans="1:8" ht="14">
      <c r="A169" s="54" t="s">
        <v>292</v>
      </c>
      <c r="B169" s="55" t="s">
        <v>204</v>
      </c>
      <c r="C169" s="55" t="s">
        <v>205</v>
      </c>
      <c r="D169" s="55">
        <v>0</v>
      </c>
      <c r="E169" s="55" t="s">
        <v>335</v>
      </c>
      <c r="F169" s="55" t="s">
        <v>209</v>
      </c>
      <c r="G169" s="55" t="s">
        <v>240</v>
      </c>
      <c r="H169" s="56">
        <v>5.9</v>
      </c>
    </row>
    <row r="170" spans="1:8" ht="14">
      <c r="A170" s="54" t="s">
        <v>292</v>
      </c>
      <c r="B170" s="55" t="s">
        <v>204</v>
      </c>
      <c r="C170" s="55" t="s">
        <v>205</v>
      </c>
      <c r="D170" s="55">
        <v>0</v>
      </c>
      <c r="E170" s="55" t="s">
        <v>335</v>
      </c>
      <c r="F170" s="55" t="s">
        <v>209</v>
      </c>
      <c r="G170" s="55" t="s">
        <v>336</v>
      </c>
      <c r="H170" s="56">
        <v>7.19</v>
      </c>
    </row>
    <row r="171" spans="1:8" ht="14">
      <c r="A171" s="54" t="s">
        <v>292</v>
      </c>
      <c r="B171" s="55" t="s">
        <v>204</v>
      </c>
      <c r="C171" s="55" t="s">
        <v>205</v>
      </c>
      <c r="D171" s="55">
        <v>0</v>
      </c>
      <c r="E171" s="55" t="s">
        <v>335</v>
      </c>
      <c r="F171" s="55" t="s">
        <v>297</v>
      </c>
      <c r="G171" s="55" t="s">
        <v>208</v>
      </c>
      <c r="H171" s="56">
        <v>12.85</v>
      </c>
    </row>
    <row r="172" spans="1:8" ht="14">
      <c r="A172" s="54" t="s">
        <v>292</v>
      </c>
      <c r="B172" s="55" t="s">
        <v>204</v>
      </c>
      <c r="C172" s="55" t="s">
        <v>205</v>
      </c>
      <c r="D172" s="55">
        <v>0</v>
      </c>
      <c r="E172" s="55" t="s">
        <v>335</v>
      </c>
      <c r="F172" s="55" t="s">
        <v>297</v>
      </c>
      <c r="G172" s="55" t="s">
        <v>299</v>
      </c>
      <c r="H172" s="56">
        <v>19.579999999999998</v>
      </c>
    </row>
    <row r="173" spans="1:8" ht="14">
      <c r="A173" s="54" t="s">
        <v>292</v>
      </c>
      <c r="B173" s="55" t="s">
        <v>204</v>
      </c>
      <c r="C173" s="55" t="s">
        <v>205</v>
      </c>
      <c r="D173" s="55">
        <v>0</v>
      </c>
      <c r="E173" s="55" t="s">
        <v>337</v>
      </c>
      <c r="F173" s="55" t="s">
        <v>207</v>
      </c>
      <c r="G173" s="55" t="s">
        <v>261</v>
      </c>
      <c r="H173" s="56">
        <v>6.87</v>
      </c>
    </row>
    <row r="174" spans="1:8" ht="14">
      <c r="A174" s="54" t="s">
        <v>292</v>
      </c>
      <c r="B174" s="55" t="s">
        <v>204</v>
      </c>
      <c r="C174" s="55" t="s">
        <v>205</v>
      </c>
      <c r="D174" s="55">
        <v>0</v>
      </c>
      <c r="E174" s="55" t="s">
        <v>337</v>
      </c>
      <c r="F174" s="55" t="s">
        <v>209</v>
      </c>
      <c r="G174" s="55" t="s">
        <v>262</v>
      </c>
      <c r="H174" s="56">
        <v>7.44</v>
      </c>
    </row>
    <row r="175" spans="1:8" ht="14">
      <c r="A175" s="54" t="s">
        <v>292</v>
      </c>
      <c r="B175" s="55" t="s">
        <v>204</v>
      </c>
      <c r="C175" s="55" t="s">
        <v>205</v>
      </c>
      <c r="D175" s="55">
        <v>0</v>
      </c>
      <c r="E175" s="55" t="s">
        <v>337</v>
      </c>
      <c r="F175" s="55" t="s">
        <v>209</v>
      </c>
      <c r="G175" s="55" t="s">
        <v>240</v>
      </c>
      <c r="H175" s="56">
        <v>7.99</v>
      </c>
    </row>
    <row r="176" spans="1:8" ht="14">
      <c r="A176" s="54" t="s">
        <v>292</v>
      </c>
      <c r="B176" s="55" t="s">
        <v>204</v>
      </c>
      <c r="C176" s="55" t="s">
        <v>205</v>
      </c>
      <c r="D176" s="55">
        <v>0</v>
      </c>
      <c r="E176" s="55" t="s">
        <v>337</v>
      </c>
      <c r="F176" s="55" t="s">
        <v>297</v>
      </c>
      <c r="G176" s="55" t="s">
        <v>299</v>
      </c>
      <c r="H176" s="56">
        <v>37.590000000000003</v>
      </c>
    </row>
    <row r="177" spans="1:8" ht="14">
      <c r="A177" s="54" t="s">
        <v>292</v>
      </c>
      <c r="B177" s="55" t="s">
        <v>204</v>
      </c>
      <c r="C177" s="55" t="s">
        <v>205</v>
      </c>
      <c r="D177" s="55">
        <v>0</v>
      </c>
      <c r="E177" s="55" t="s">
        <v>338</v>
      </c>
      <c r="F177" s="55" t="s">
        <v>207</v>
      </c>
      <c r="G177" s="55" t="s">
        <v>261</v>
      </c>
      <c r="H177" s="56">
        <v>2.0499999999999998</v>
      </c>
    </row>
    <row r="178" spans="1:8" ht="14">
      <c r="A178" s="54" t="s">
        <v>292</v>
      </c>
      <c r="B178" s="55" t="s">
        <v>204</v>
      </c>
      <c r="C178" s="55" t="s">
        <v>205</v>
      </c>
      <c r="D178" s="55">
        <v>0</v>
      </c>
      <c r="E178" s="55" t="s">
        <v>338</v>
      </c>
      <c r="F178" s="55" t="s">
        <v>209</v>
      </c>
      <c r="G178" s="55" t="s">
        <v>220</v>
      </c>
      <c r="H178" s="56">
        <v>5.14</v>
      </c>
    </row>
    <row r="179" spans="1:8" ht="14">
      <c r="A179" s="54" t="s">
        <v>292</v>
      </c>
      <c r="B179" s="55" t="s">
        <v>204</v>
      </c>
      <c r="C179" s="55" t="s">
        <v>205</v>
      </c>
      <c r="D179" s="55">
        <v>0</v>
      </c>
      <c r="E179" s="55" t="s">
        <v>338</v>
      </c>
      <c r="F179" s="55" t="s">
        <v>209</v>
      </c>
      <c r="G179" s="55" t="s">
        <v>262</v>
      </c>
      <c r="H179" s="56">
        <v>4.63</v>
      </c>
    </row>
    <row r="180" spans="1:8" ht="14">
      <c r="A180" s="54" t="s">
        <v>292</v>
      </c>
      <c r="B180" s="55" t="s">
        <v>204</v>
      </c>
      <c r="C180" s="55" t="s">
        <v>205</v>
      </c>
      <c r="D180" s="55">
        <v>0</v>
      </c>
      <c r="E180" s="55" t="s">
        <v>338</v>
      </c>
      <c r="F180" s="55" t="s">
        <v>209</v>
      </c>
      <c r="G180" s="55" t="s">
        <v>226</v>
      </c>
      <c r="H180" s="56">
        <v>4.76</v>
      </c>
    </row>
    <row r="181" spans="1:8" ht="14">
      <c r="A181" s="54" t="s">
        <v>292</v>
      </c>
      <c r="B181" s="55" t="s">
        <v>204</v>
      </c>
      <c r="C181" s="55" t="s">
        <v>205</v>
      </c>
      <c r="D181" s="55">
        <v>0</v>
      </c>
      <c r="E181" s="55" t="s">
        <v>338</v>
      </c>
      <c r="F181" s="55" t="s">
        <v>209</v>
      </c>
      <c r="G181" s="55" t="s">
        <v>242</v>
      </c>
      <c r="H181" s="56">
        <v>5.2</v>
      </c>
    </row>
    <row r="182" spans="1:8" ht="14">
      <c r="A182" s="54" t="s">
        <v>292</v>
      </c>
      <c r="B182" s="55" t="s">
        <v>204</v>
      </c>
      <c r="C182" s="55" t="s">
        <v>205</v>
      </c>
      <c r="D182" s="55">
        <v>0</v>
      </c>
      <c r="E182" s="55" t="s">
        <v>338</v>
      </c>
      <c r="F182" s="55" t="s">
        <v>209</v>
      </c>
      <c r="G182" s="55" t="s">
        <v>295</v>
      </c>
      <c r="H182" s="56">
        <v>8.36</v>
      </c>
    </row>
    <row r="183" spans="1:8" ht="14">
      <c r="A183" s="54" t="s">
        <v>292</v>
      </c>
      <c r="B183" s="55" t="s">
        <v>204</v>
      </c>
      <c r="C183" s="55" t="s">
        <v>205</v>
      </c>
      <c r="D183" s="55">
        <v>0</v>
      </c>
      <c r="E183" s="55" t="s">
        <v>338</v>
      </c>
      <c r="F183" s="55" t="s">
        <v>209</v>
      </c>
      <c r="G183" s="55" t="s">
        <v>296</v>
      </c>
      <c r="H183" s="56">
        <v>8.36</v>
      </c>
    </row>
    <row r="184" spans="1:8" ht="14">
      <c r="A184" s="54" t="s">
        <v>292</v>
      </c>
      <c r="B184" s="55" t="s">
        <v>204</v>
      </c>
      <c r="C184" s="55" t="s">
        <v>205</v>
      </c>
      <c r="D184" s="55">
        <v>0</v>
      </c>
      <c r="E184" s="55" t="s">
        <v>339</v>
      </c>
      <c r="F184" s="55" t="s">
        <v>207</v>
      </c>
      <c r="G184" s="55" t="s">
        <v>274</v>
      </c>
      <c r="H184" s="56">
        <v>1.68</v>
      </c>
    </row>
    <row r="185" spans="1:8" ht="14">
      <c r="A185" s="54" t="s">
        <v>292</v>
      </c>
      <c r="B185" s="55" t="s">
        <v>204</v>
      </c>
      <c r="C185" s="55" t="s">
        <v>205</v>
      </c>
      <c r="D185" s="55">
        <v>0</v>
      </c>
      <c r="E185" s="55" t="s">
        <v>339</v>
      </c>
      <c r="F185" s="55" t="s">
        <v>207</v>
      </c>
      <c r="G185" s="55" t="s">
        <v>340</v>
      </c>
      <c r="H185" s="56">
        <v>1.27</v>
      </c>
    </row>
    <row r="186" spans="1:8" ht="14">
      <c r="A186" s="54" t="s">
        <v>292</v>
      </c>
      <c r="B186" s="55" t="s">
        <v>204</v>
      </c>
      <c r="C186" s="55" t="s">
        <v>205</v>
      </c>
      <c r="D186" s="55">
        <v>0</v>
      </c>
      <c r="E186" s="55" t="s">
        <v>339</v>
      </c>
      <c r="F186" s="55" t="s">
        <v>207</v>
      </c>
      <c r="G186" s="55" t="s">
        <v>341</v>
      </c>
      <c r="H186" s="56">
        <v>1.68</v>
      </c>
    </row>
    <row r="187" spans="1:8" ht="14">
      <c r="A187" s="54" t="s">
        <v>292</v>
      </c>
      <c r="B187" s="55" t="s">
        <v>204</v>
      </c>
      <c r="C187" s="55" t="s">
        <v>205</v>
      </c>
      <c r="D187" s="55">
        <v>0</v>
      </c>
      <c r="E187" s="55" t="s">
        <v>339</v>
      </c>
      <c r="F187" s="55" t="s">
        <v>207</v>
      </c>
      <c r="G187" s="55" t="s">
        <v>342</v>
      </c>
      <c r="H187" s="56">
        <v>4.24</v>
      </c>
    </row>
    <row r="188" spans="1:8" ht="14">
      <c r="A188" s="54" t="s">
        <v>292</v>
      </c>
      <c r="B188" s="55" t="s">
        <v>204</v>
      </c>
      <c r="C188" s="55" t="s">
        <v>205</v>
      </c>
      <c r="D188" s="55">
        <v>0</v>
      </c>
      <c r="E188" s="55" t="s">
        <v>339</v>
      </c>
      <c r="F188" s="55" t="s">
        <v>343</v>
      </c>
      <c r="G188" s="55" t="s">
        <v>301</v>
      </c>
      <c r="H188" s="56">
        <v>11.77</v>
      </c>
    </row>
    <row r="189" spans="1:8" ht="14">
      <c r="A189" s="54" t="s">
        <v>292</v>
      </c>
      <c r="B189" s="55" t="s">
        <v>204</v>
      </c>
      <c r="C189" s="55" t="s">
        <v>205</v>
      </c>
      <c r="D189" s="55">
        <v>0</v>
      </c>
      <c r="E189" s="55" t="s">
        <v>339</v>
      </c>
      <c r="F189" s="55" t="s">
        <v>209</v>
      </c>
      <c r="G189" s="55" t="s">
        <v>344</v>
      </c>
      <c r="H189" s="56">
        <v>9.9</v>
      </c>
    </row>
    <row r="190" spans="1:8" ht="14">
      <c r="A190" s="54" t="s">
        <v>292</v>
      </c>
      <c r="B190" s="55" t="s">
        <v>204</v>
      </c>
      <c r="C190" s="55" t="s">
        <v>205</v>
      </c>
      <c r="D190" s="55">
        <v>0</v>
      </c>
      <c r="E190" s="55" t="s">
        <v>339</v>
      </c>
      <c r="F190" s="55" t="s">
        <v>209</v>
      </c>
      <c r="G190" s="55" t="s">
        <v>345</v>
      </c>
      <c r="H190" s="56">
        <v>9.48</v>
      </c>
    </row>
    <row r="191" spans="1:8" ht="14">
      <c r="A191" s="54" t="s">
        <v>292</v>
      </c>
      <c r="B191" s="55" t="s">
        <v>204</v>
      </c>
      <c r="C191" s="55" t="s">
        <v>205</v>
      </c>
      <c r="D191" s="55">
        <v>0</v>
      </c>
      <c r="E191" s="55" t="s">
        <v>339</v>
      </c>
      <c r="F191" s="55" t="s">
        <v>209</v>
      </c>
      <c r="G191" s="55" t="s">
        <v>346</v>
      </c>
      <c r="H191" s="56">
        <v>9.17</v>
      </c>
    </row>
    <row r="192" spans="1:8" ht="14">
      <c r="A192" s="54" t="s">
        <v>292</v>
      </c>
      <c r="B192" s="55" t="s">
        <v>204</v>
      </c>
      <c r="C192" s="55" t="s">
        <v>205</v>
      </c>
      <c r="D192" s="55">
        <v>0</v>
      </c>
      <c r="E192" s="55" t="s">
        <v>339</v>
      </c>
      <c r="F192" s="55" t="s">
        <v>209</v>
      </c>
      <c r="G192" s="55" t="s">
        <v>296</v>
      </c>
      <c r="H192" s="56">
        <v>9.8699999999999992</v>
      </c>
    </row>
    <row r="193" spans="1:8" ht="14">
      <c r="A193" s="54" t="s">
        <v>292</v>
      </c>
      <c r="B193" s="55" t="s">
        <v>204</v>
      </c>
      <c r="C193" s="55" t="s">
        <v>205</v>
      </c>
      <c r="D193" s="55">
        <v>0</v>
      </c>
      <c r="E193" s="55" t="s">
        <v>339</v>
      </c>
      <c r="F193" s="55" t="s">
        <v>297</v>
      </c>
      <c r="G193" s="55" t="s">
        <v>347</v>
      </c>
      <c r="H193" s="56">
        <v>11.7</v>
      </c>
    </row>
    <row r="194" spans="1:8" ht="14">
      <c r="A194" s="54" t="s">
        <v>292</v>
      </c>
      <c r="B194" s="55" t="s">
        <v>204</v>
      </c>
      <c r="C194" s="55" t="s">
        <v>205</v>
      </c>
      <c r="D194" s="55">
        <v>0</v>
      </c>
      <c r="E194" s="55" t="s">
        <v>348</v>
      </c>
      <c r="F194" s="55" t="s">
        <v>207</v>
      </c>
      <c r="G194" s="55" t="s">
        <v>219</v>
      </c>
      <c r="H194" s="56">
        <v>3.82</v>
      </c>
    </row>
    <row r="195" spans="1:8" ht="14">
      <c r="A195" s="54" t="s">
        <v>292</v>
      </c>
      <c r="B195" s="55" t="s">
        <v>204</v>
      </c>
      <c r="C195" s="55" t="s">
        <v>205</v>
      </c>
      <c r="D195" s="55">
        <v>0</v>
      </c>
      <c r="E195" s="55" t="s">
        <v>348</v>
      </c>
      <c r="F195" s="55" t="s">
        <v>306</v>
      </c>
      <c r="G195" s="55" t="s">
        <v>308</v>
      </c>
      <c r="H195" s="56">
        <v>9.3800000000000008</v>
      </c>
    </row>
    <row r="196" spans="1:8" ht="14">
      <c r="A196" s="54" t="s">
        <v>292</v>
      </c>
      <c r="B196" s="55" t="s">
        <v>204</v>
      </c>
      <c r="C196" s="55" t="s">
        <v>205</v>
      </c>
      <c r="D196" s="55">
        <v>0</v>
      </c>
      <c r="E196" s="55" t="s">
        <v>348</v>
      </c>
      <c r="F196" s="55" t="s">
        <v>209</v>
      </c>
      <c r="G196" s="55" t="s">
        <v>294</v>
      </c>
      <c r="H196" s="56">
        <v>12.14</v>
      </c>
    </row>
    <row r="197" spans="1:8" ht="14">
      <c r="A197" s="54" t="s">
        <v>292</v>
      </c>
      <c r="B197" s="55" t="s">
        <v>204</v>
      </c>
      <c r="C197" s="55" t="s">
        <v>205</v>
      </c>
      <c r="D197" s="55">
        <v>0</v>
      </c>
      <c r="E197" s="55" t="s">
        <v>348</v>
      </c>
      <c r="F197" s="55" t="s">
        <v>209</v>
      </c>
      <c r="G197" s="55" t="s">
        <v>217</v>
      </c>
      <c r="H197" s="56">
        <v>5.1100000000000003</v>
      </c>
    </row>
    <row r="198" spans="1:8" ht="14">
      <c r="A198" s="54" t="s">
        <v>292</v>
      </c>
      <c r="B198" s="55" t="s">
        <v>204</v>
      </c>
      <c r="C198" s="55" t="s">
        <v>205</v>
      </c>
      <c r="D198" s="55">
        <v>0</v>
      </c>
      <c r="E198" s="55" t="s">
        <v>348</v>
      </c>
      <c r="F198" s="55" t="s">
        <v>209</v>
      </c>
      <c r="G198" s="55" t="s">
        <v>226</v>
      </c>
      <c r="H198" s="56">
        <v>5.39</v>
      </c>
    </row>
    <row r="199" spans="1:8" ht="14">
      <c r="A199" s="54" t="s">
        <v>292</v>
      </c>
      <c r="B199" s="55" t="s">
        <v>204</v>
      </c>
      <c r="C199" s="55" t="s">
        <v>205</v>
      </c>
      <c r="D199" s="55">
        <v>0</v>
      </c>
      <c r="E199" s="55" t="s">
        <v>348</v>
      </c>
      <c r="F199" s="55" t="s">
        <v>209</v>
      </c>
      <c r="G199" s="55" t="s">
        <v>295</v>
      </c>
      <c r="H199" s="56">
        <v>9.31</v>
      </c>
    </row>
    <row r="200" spans="1:8" ht="14">
      <c r="A200" s="54" t="s">
        <v>292</v>
      </c>
      <c r="B200" s="55" t="s">
        <v>204</v>
      </c>
      <c r="C200" s="55" t="s">
        <v>205</v>
      </c>
      <c r="D200" s="55">
        <v>0</v>
      </c>
      <c r="E200" s="55" t="s">
        <v>348</v>
      </c>
      <c r="F200" s="55" t="s">
        <v>297</v>
      </c>
      <c r="G200" s="55" t="s">
        <v>349</v>
      </c>
      <c r="H200" s="56">
        <v>7.16</v>
      </c>
    </row>
    <row r="201" spans="1:8" ht="14">
      <c r="A201" s="54" t="s">
        <v>292</v>
      </c>
      <c r="B201" s="55" t="s">
        <v>204</v>
      </c>
      <c r="C201" s="55" t="s">
        <v>205</v>
      </c>
      <c r="D201" s="55">
        <v>0</v>
      </c>
      <c r="E201" s="55" t="s">
        <v>348</v>
      </c>
      <c r="F201" s="55" t="s">
        <v>297</v>
      </c>
      <c r="G201" s="55" t="s">
        <v>299</v>
      </c>
      <c r="H201" s="56">
        <v>14.8</v>
      </c>
    </row>
    <row r="202" spans="1:8" ht="14">
      <c r="A202" s="54" t="s">
        <v>292</v>
      </c>
      <c r="B202" s="55" t="s">
        <v>204</v>
      </c>
      <c r="C202" s="55" t="s">
        <v>205</v>
      </c>
      <c r="D202" s="55">
        <v>0</v>
      </c>
      <c r="E202" s="55" t="s">
        <v>350</v>
      </c>
      <c r="F202" s="55" t="s">
        <v>207</v>
      </c>
      <c r="G202" s="55" t="s">
        <v>219</v>
      </c>
      <c r="H202" s="56">
        <v>3.86</v>
      </c>
    </row>
    <row r="203" spans="1:8" ht="14">
      <c r="A203" s="54" t="s">
        <v>292</v>
      </c>
      <c r="B203" s="55" t="s">
        <v>204</v>
      </c>
      <c r="C203" s="55" t="s">
        <v>205</v>
      </c>
      <c r="D203" s="55">
        <v>0</v>
      </c>
      <c r="E203" s="55" t="s">
        <v>350</v>
      </c>
      <c r="F203" s="55" t="s">
        <v>209</v>
      </c>
      <c r="G203" s="55" t="s">
        <v>217</v>
      </c>
      <c r="H203" s="56">
        <v>6.41</v>
      </c>
    </row>
    <row r="204" spans="1:8" ht="14">
      <c r="A204" s="54" t="s">
        <v>292</v>
      </c>
      <c r="B204" s="55" t="s">
        <v>204</v>
      </c>
      <c r="C204" s="55" t="s">
        <v>205</v>
      </c>
      <c r="D204" s="55">
        <v>0</v>
      </c>
      <c r="E204" s="55" t="s">
        <v>350</v>
      </c>
      <c r="F204" s="55" t="s">
        <v>209</v>
      </c>
      <c r="G204" s="55" t="s">
        <v>220</v>
      </c>
      <c r="H204" s="56">
        <v>7.29</v>
      </c>
    </row>
    <row r="205" spans="1:8" ht="14">
      <c r="A205" s="54" t="s">
        <v>292</v>
      </c>
      <c r="B205" s="55" t="s">
        <v>204</v>
      </c>
      <c r="C205" s="55" t="s">
        <v>205</v>
      </c>
      <c r="D205" s="55">
        <v>0</v>
      </c>
      <c r="E205" s="55" t="s">
        <v>350</v>
      </c>
      <c r="F205" s="55" t="s">
        <v>209</v>
      </c>
      <c r="G205" s="55" t="s">
        <v>226</v>
      </c>
      <c r="H205" s="56">
        <v>6.75</v>
      </c>
    </row>
    <row r="206" spans="1:8" ht="14">
      <c r="A206" s="54" t="s">
        <v>292</v>
      </c>
      <c r="B206" s="55" t="s">
        <v>204</v>
      </c>
      <c r="C206" s="55" t="s">
        <v>205</v>
      </c>
      <c r="D206" s="55">
        <v>0</v>
      </c>
      <c r="E206" s="55" t="s">
        <v>350</v>
      </c>
      <c r="F206" s="55" t="s">
        <v>209</v>
      </c>
      <c r="G206" s="55" t="s">
        <v>242</v>
      </c>
      <c r="H206" s="56">
        <v>7.29</v>
      </c>
    </row>
    <row r="207" spans="1:8" ht="14">
      <c r="A207" s="54" t="s">
        <v>292</v>
      </c>
      <c r="B207" s="55" t="s">
        <v>204</v>
      </c>
      <c r="C207" s="55" t="s">
        <v>205</v>
      </c>
      <c r="D207" s="55">
        <v>0</v>
      </c>
      <c r="E207" s="55" t="s">
        <v>350</v>
      </c>
      <c r="F207" s="55" t="s">
        <v>209</v>
      </c>
      <c r="G207" s="55" t="s">
        <v>332</v>
      </c>
      <c r="H207" s="56">
        <v>19.37</v>
      </c>
    </row>
    <row r="208" spans="1:8" ht="14">
      <c r="A208" s="54" t="s">
        <v>292</v>
      </c>
      <c r="B208" s="55" t="s">
        <v>204</v>
      </c>
      <c r="C208" s="55" t="s">
        <v>205</v>
      </c>
      <c r="D208" s="55">
        <v>0</v>
      </c>
      <c r="E208" s="55" t="s">
        <v>350</v>
      </c>
      <c r="F208" s="55" t="s">
        <v>297</v>
      </c>
      <c r="G208" s="55" t="s">
        <v>298</v>
      </c>
      <c r="H208" s="56">
        <v>31.09</v>
      </c>
    </row>
    <row r="209" spans="1:8" ht="14">
      <c r="A209" s="54" t="s">
        <v>292</v>
      </c>
      <c r="B209" s="55" t="s">
        <v>204</v>
      </c>
      <c r="C209" s="55" t="s">
        <v>205</v>
      </c>
      <c r="D209" s="55">
        <v>0</v>
      </c>
      <c r="E209" s="55" t="s">
        <v>351</v>
      </c>
      <c r="F209" s="55" t="s">
        <v>207</v>
      </c>
      <c r="G209" s="55" t="s">
        <v>219</v>
      </c>
      <c r="H209" s="56">
        <v>2.54</v>
      </c>
    </row>
    <row r="210" spans="1:8" ht="14">
      <c r="A210" s="54" t="s">
        <v>292</v>
      </c>
      <c r="B210" s="55" t="s">
        <v>204</v>
      </c>
      <c r="C210" s="55" t="s">
        <v>205</v>
      </c>
      <c r="D210" s="55">
        <v>0</v>
      </c>
      <c r="E210" s="55" t="s">
        <v>351</v>
      </c>
      <c r="F210" s="55" t="s">
        <v>209</v>
      </c>
      <c r="G210" s="55" t="s">
        <v>294</v>
      </c>
      <c r="H210" s="56">
        <v>11.74</v>
      </c>
    </row>
    <row r="211" spans="1:8" ht="14">
      <c r="A211" s="54" t="s">
        <v>292</v>
      </c>
      <c r="B211" s="55" t="s">
        <v>204</v>
      </c>
      <c r="C211" s="55" t="s">
        <v>205</v>
      </c>
      <c r="D211" s="55">
        <v>0</v>
      </c>
      <c r="E211" s="55" t="s">
        <v>351</v>
      </c>
      <c r="F211" s="55" t="s">
        <v>209</v>
      </c>
      <c r="G211" s="55" t="s">
        <v>217</v>
      </c>
      <c r="H211" s="56">
        <v>4.8099999999999996</v>
      </c>
    </row>
    <row r="212" spans="1:8" ht="14">
      <c r="A212" s="54" t="s">
        <v>292</v>
      </c>
      <c r="B212" s="55" t="s">
        <v>204</v>
      </c>
      <c r="C212" s="55" t="s">
        <v>205</v>
      </c>
      <c r="D212" s="55">
        <v>0</v>
      </c>
      <c r="E212" s="55" t="s">
        <v>351</v>
      </c>
      <c r="F212" s="55" t="s">
        <v>209</v>
      </c>
      <c r="G212" s="55" t="s">
        <v>226</v>
      </c>
      <c r="H212" s="56">
        <v>4.96</v>
      </c>
    </row>
    <row r="213" spans="1:8" ht="14">
      <c r="A213" s="54" t="s">
        <v>292</v>
      </c>
      <c r="B213" s="55" t="s">
        <v>204</v>
      </c>
      <c r="C213" s="55" t="s">
        <v>205</v>
      </c>
      <c r="D213" s="55">
        <v>0</v>
      </c>
      <c r="E213" s="55" t="s">
        <v>351</v>
      </c>
      <c r="F213" s="55" t="s">
        <v>209</v>
      </c>
      <c r="G213" s="55" t="s">
        <v>295</v>
      </c>
      <c r="H213" s="56">
        <v>8.73</v>
      </c>
    </row>
    <row r="214" spans="1:8" ht="14">
      <c r="A214" s="54" t="s">
        <v>292</v>
      </c>
      <c r="B214" s="55" t="s">
        <v>204</v>
      </c>
      <c r="C214" s="55" t="s">
        <v>205</v>
      </c>
      <c r="D214" s="55">
        <v>0</v>
      </c>
      <c r="E214" s="55" t="s">
        <v>351</v>
      </c>
      <c r="F214" s="55" t="s">
        <v>209</v>
      </c>
      <c r="G214" s="55" t="s">
        <v>296</v>
      </c>
      <c r="H214" s="56">
        <v>8.83</v>
      </c>
    </row>
    <row r="215" spans="1:8" ht="14">
      <c r="A215" s="54" t="s">
        <v>292</v>
      </c>
      <c r="B215" s="55" t="s">
        <v>204</v>
      </c>
      <c r="C215" s="55" t="s">
        <v>205</v>
      </c>
      <c r="D215" s="55">
        <v>0</v>
      </c>
      <c r="E215" s="55" t="s">
        <v>351</v>
      </c>
      <c r="F215" s="55" t="s">
        <v>297</v>
      </c>
      <c r="G215" s="55" t="s">
        <v>299</v>
      </c>
      <c r="H215" s="56">
        <v>14.14</v>
      </c>
    </row>
    <row r="216" spans="1:8" ht="14">
      <c r="A216" s="54" t="s">
        <v>292</v>
      </c>
      <c r="B216" s="55" t="s">
        <v>204</v>
      </c>
      <c r="C216" s="55" t="s">
        <v>205</v>
      </c>
      <c r="D216" s="55">
        <v>0</v>
      </c>
      <c r="E216" s="55" t="s">
        <v>352</v>
      </c>
      <c r="F216" s="55" t="s">
        <v>207</v>
      </c>
      <c r="G216" s="55" t="s">
        <v>342</v>
      </c>
      <c r="H216" s="56">
        <v>5.3</v>
      </c>
    </row>
    <row r="217" spans="1:8" ht="14">
      <c r="A217" s="54" t="s">
        <v>292</v>
      </c>
      <c r="B217" s="55" t="s">
        <v>204</v>
      </c>
      <c r="C217" s="55" t="s">
        <v>205</v>
      </c>
      <c r="D217" s="55">
        <v>0</v>
      </c>
      <c r="E217" s="55" t="s">
        <v>352</v>
      </c>
      <c r="F217" s="55" t="s">
        <v>306</v>
      </c>
      <c r="G217" s="55" t="s">
        <v>353</v>
      </c>
      <c r="H217" s="56">
        <v>26.91</v>
      </c>
    </row>
    <row r="218" spans="1:8" ht="14">
      <c r="A218" s="54" t="s">
        <v>292</v>
      </c>
      <c r="B218" s="55" t="s">
        <v>204</v>
      </c>
      <c r="C218" s="55" t="s">
        <v>205</v>
      </c>
      <c r="D218" s="55">
        <v>0</v>
      </c>
      <c r="E218" s="55" t="s">
        <v>352</v>
      </c>
      <c r="F218" s="55" t="s">
        <v>306</v>
      </c>
      <c r="G218" s="55" t="s">
        <v>354</v>
      </c>
      <c r="H218" s="56">
        <v>42.17</v>
      </c>
    </row>
    <row r="219" spans="1:8" ht="14">
      <c r="A219" s="54" t="s">
        <v>292</v>
      </c>
      <c r="B219" s="55" t="s">
        <v>204</v>
      </c>
      <c r="C219" s="55" t="s">
        <v>205</v>
      </c>
      <c r="D219" s="55">
        <v>0</v>
      </c>
      <c r="E219" s="55" t="s">
        <v>352</v>
      </c>
      <c r="F219" s="55" t="s">
        <v>209</v>
      </c>
      <c r="G219" s="55" t="s">
        <v>355</v>
      </c>
      <c r="H219" s="56">
        <v>26.02</v>
      </c>
    </row>
    <row r="220" spans="1:8" ht="14">
      <c r="A220" s="54" t="s">
        <v>292</v>
      </c>
      <c r="B220" s="55" t="s">
        <v>204</v>
      </c>
      <c r="C220" s="55" t="s">
        <v>205</v>
      </c>
      <c r="D220" s="55">
        <v>0</v>
      </c>
      <c r="E220" s="55" t="s">
        <v>352</v>
      </c>
      <c r="F220" s="55" t="s">
        <v>209</v>
      </c>
      <c r="G220" s="55" t="s">
        <v>217</v>
      </c>
      <c r="H220" s="56">
        <v>9.15</v>
      </c>
    </row>
    <row r="221" spans="1:8" ht="14">
      <c r="A221" s="54" t="s">
        <v>292</v>
      </c>
      <c r="B221" s="55" t="s">
        <v>204</v>
      </c>
      <c r="C221" s="55" t="s">
        <v>205</v>
      </c>
      <c r="D221" s="55">
        <v>0</v>
      </c>
      <c r="E221" s="55" t="s">
        <v>352</v>
      </c>
      <c r="F221" s="55" t="s">
        <v>209</v>
      </c>
      <c r="G221" s="55" t="s">
        <v>220</v>
      </c>
      <c r="H221" s="56">
        <v>10.130000000000001</v>
      </c>
    </row>
    <row r="222" spans="1:8" ht="14">
      <c r="A222" s="54" t="s">
        <v>292</v>
      </c>
      <c r="B222" s="55" t="s">
        <v>204</v>
      </c>
      <c r="C222" s="55" t="s">
        <v>205</v>
      </c>
      <c r="D222" s="55">
        <v>0</v>
      </c>
      <c r="E222" s="55" t="s">
        <v>352</v>
      </c>
      <c r="F222" s="55" t="s">
        <v>209</v>
      </c>
      <c r="G222" s="55" t="s">
        <v>242</v>
      </c>
      <c r="H222" s="56">
        <v>10.130000000000001</v>
      </c>
    </row>
    <row r="223" spans="1:8" ht="14">
      <c r="A223" s="54" t="s">
        <v>292</v>
      </c>
      <c r="B223" s="55" t="s">
        <v>204</v>
      </c>
      <c r="C223" s="55" t="s">
        <v>205</v>
      </c>
      <c r="D223" s="55">
        <v>0</v>
      </c>
      <c r="E223" s="55" t="s">
        <v>356</v>
      </c>
      <c r="F223" s="55" t="s">
        <v>207</v>
      </c>
      <c r="G223" s="55" t="s">
        <v>219</v>
      </c>
      <c r="H223" s="56">
        <v>3.39</v>
      </c>
    </row>
    <row r="224" spans="1:8" ht="14">
      <c r="A224" s="54" t="s">
        <v>292</v>
      </c>
      <c r="B224" s="55" t="s">
        <v>204</v>
      </c>
      <c r="C224" s="55" t="s">
        <v>205</v>
      </c>
      <c r="D224" s="55">
        <v>0</v>
      </c>
      <c r="E224" s="55" t="s">
        <v>356</v>
      </c>
      <c r="F224" s="55" t="s">
        <v>306</v>
      </c>
      <c r="G224" s="55" t="s">
        <v>308</v>
      </c>
      <c r="H224" s="56">
        <v>9.42</v>
      </c>
    </row>
    <row r="225" spans="1:8" ht="14">
      <c r="A225" s="54" t="s">
        <v>292</v>
      </c>
      <c r="B225" s="55" t="s">
        <v>204</v>
      </c>
      <c r="C225" s="55" t="s">
        <v>205</v>
      </c>
      <c r="D225" s="55">
        <v>0</v>
      </c>
      <c r="E225" s="55" t="s">
        <v>356</v>
      </c>
      <c r="F225" s="55" t="s">
        <v>209</v>
      </c>
      <c r="G225" s="55" t="s">
        <v>294</v>
      </c>
      <c r="H225" s="56">
        <v>11.97</v>
      </c>
    </row>
    <row r="226" spans="1:8" ht="14">
      <c r="A226" s="54" t="s">
        <v>292</v>
      </c>
      <c r="B226" s="55" t="s">
        <v>204</v>
      </c>
      <c r="C226" s="55" t="s">
        <v>205</v>
      </c>
      <c r="D226" s="55">
        <v>0</v>
      </c>
      <c r="E226" s="55" t="s">
        <v>356</v>
      </c>
      <c r="F226" s="55" t="s">
        <v>209</v>
      </c>
      <c r="G226" s="55" t="s">
        <v>217</v>
      </c>
      <c r="H226" s="56">
        <v>5.1100000000000003</v>
      </c>
    </row>
    <row r="227" spans="1:8" ht="14">
      <c r="A227" s="54" t="s">
        <v>292</v>
      </c>
      <c r="B227" s="55" t="s">
        <v>204</v>
      </c>
      <c r="C227" s="55" t="s">
        <v>205</v>
      </c>
      <c r="D227" s="55">
        <v>0</v>
      </c>
      <c r="E227" s="55" t="s">
        <v>356</v>
      </c>
      <c r="F227" s="55" t="s">
        <v>209</v>
      </c>
      <c r="G227" s="55" t="s">
        <v>226</v>
      </c>
      <c r="H227" s="56">
        <v>5.25</v>
      </c>
    </row>
    <row r="228" spans="1:8" ht="14">
      <c r="A228" s="54" t="s">
        <v>292</v>
      </c>
      <c r="B228" s="55" t="s">
        <v>204</v>
      </c>
      <c r="C228" s="55" t="s">
        <v>205</v>
      </c>
      <c r="D228" s="55">
        <v>0</v>
      </c>
      <c r="E228" s="55" t="s">
        <v>356</v>
      </c>
      <c r="F228" s="55" t="s">
        <v>209</v>
      </c>
      <c r="G228" s="55" t="s">
        <v>295</v>
      </c>
      <c r="H228" s="56">
        <v>9.42</v>
      </c>
    </row>
    <row r="229" spans="1:8" ht="14">
      <c r="A229" s="54" t="s">
        <v>292</v>
      </c>
      <c r="B229" s="55" t="s">
        <v>204</v>
      </c>
      <c r="C229" s="55" t="s">
        <v>205</v>
      </c>
      <c r="D229" s="55">
        <v>0</v>
      </c>
      <c r="E229" s="55" t="s">
        <v>356</v>
      </c>
      <c r="F229" s="55" t="s">
        <v>297</v>
      </c>
      <c r="G229" s="55" t="s">
        <v>208</v>
      </c>
      <c r="H229" s="56">
        <v>12.42</v>
      </c>
    </row>
    <row r="230" spans="1:8" ht="14">
      <c r="A230" s="54" t="s">
        <v>292</v>
      </c>
      <c r="B230" s="55" t="s">
        <v>204</v>
      </c>
      <c r="C230" s="55" t="s">
        <v>246</v>
      </c>
      <c r="D230" s="55">
        <v>0</v>
      </c>
      <c r="E230" s="55" t="s">
        <v>357</v>
      </c>
      <c r="F230" s="55" t="s">
        <v>297</v>
      </c>
      <c r="G230" s="55" t="s">
        <v>358</v>
      </c>
      <c r="H230" s="56">
        <v>15.07</v>
      </c>
    </row>
    <row r="231" spans="1:8" ht="14">
      <c r="A231" s="54" t="s">
        <v>292</v>
      </c>
      <c r="B231" s="55" t="s">
        <v>204</v>
      </c>
      <c r="C231" s="55" t="s">
        <v>246</v>
      </c>
      <c r="D231" s="55">
        <v>0</v>
      </c>
      <c r="E231" s="55" t="s">
        <v>357</v>
      </c>
      <c r="F231" s="55" t="s">
        <v>297</v>
      </c>
      <c r="G231" s="55" t="s">
        <v>298</v>
      </c>
      <c r="H231" s="56">
        <v>25.18</v>
      </c>
    </row>
    <row r="232" spans="1:8" ht="14">
      <c r="A232" s="54" t="s">
        <v>292</v>
      </c>
      <c r="B232" s="55" t="s">
        <v>204</v>
      </c>
      <c r="C232" s="55" t="s">
        <v>246</v>
      </c>
      <c r="D232" s="55">
        <v>0</v>
      </c>
      <c r="E232" s="55" t="s">
        <v>357</v>
      </c>
      <c r="F232" s="55" t="s">
        <v>297</v>
      </c>
      <c r="G232" s="55" t="s">
        <v>301</v>
      </c>
      <c r="H232" s="56">
        <v>25.18</v>
      </c>
    </row>
    <row r="233" spans="1:8" ht="14">
      <c r="A233" s="54" t="s">
        <v>292</v>
      </c>
      <c r="B233" s="55" t="s">
        <v>204</v>
      </c>
      <c r="C233" s="55" t="s">
        <v>246</v>
      </c>
      <c r="D233" s="55" t="s">
        <v>247</v>
      </c>
      <c r="E233" s="55" t="s">
        <v>359</v>
      </c>
      <c r="F233" s="55" t="s">
        <v>207</v>
      </c>
      <c r="G233" s="55" t="s">
        <v>219</v>
      </c>
      <c r="H233" s="56">
        <v>5.3</v>
      </c>
    </row>
    <row r="234" spans="1:8" ht="14">
      <c r="A234" s="54" t="s">
        <v>292</v>
      </c>
      <c r="B234" s="55" t="s">
        <v>204</v>
      </c>
      <c r="C234" s="55" t="s">
        <v>246</v>
      </c>
      <c r="D234" s="55" t="s">
        <v>247</v>
      </c>
      <c r="E234" s="55" t="s">
        <v>359</v>
      </c>
      <c r="F234" s="55" t="s">
        <v>306</v>
      </c>
      <c r="G234" s="55" t="s">
        <v>305</v>
      </c>
      <c r="H234" s="56">
        <v>17.07</v>
      </c>
    </row>
    <row r="235" spans="1:8" ht="14">
      <c r="A235" s="54" t="s">
        <v>292</v>
      </c>
      <c r="B235" s="55" t="s">
        <v>204</v>
      </c>
      <c r="C235" s="55" t="s">
        <v>246</v>
      </c>
      <c r="D235" s="55" t="s">
        <v>247</v>
      </c>
      <c r="E235" s="55" t="s">
        <v>359</v>
      </c>
      <c r="F235" s="55" t="s">
        <v>209</v>
      </c>
      <c r="G235" s="55" t="s">
        <v>217</v>
      </c>
      <c r="H235" s="56">
        <v>10.65</v>
      </c>
    </row>
    <row r="236" spans="1:8" ht="14">
      <c r="A236" s="54" t="s">
        <v>292</v>
      </c>
      <c r="B236" s="55" t="s">
        <v>204</v>
      </c>
      <c r="C236" s="55" t="s">
        <v>246</v>
      </c>
      <c r="D236" s="55" t="s">
        <v>247</v>
      </c>
      <c r="E236" s="55" t="s">
        <v>359</v>
      </c>
      <c r="F236" s="55" t="s">
        <v>209</v>
      </c>
      <c r="G236" s="55" t="s">
        <v>220</v>
      </c>
      <c r="H236" s="56">
        <v>12.12</v>
      </c>
    </row>
    <row r="237" spans="1:8" ht="14">
      <c r="A237" s="54" t="s">
        <v>292</v>
      </c>
      <c r="B237" s="55" t="s">
        <v>204</v>
      </c>
      <c r="C237" s="55" t="s">
        <v>246</v>
      </c>
      <c r="D237" s="55" t="s">
        <v>247</v>
      </c>
      <c r="E237" s="55" t="s">
        <v>359</v>
      </c>
      <c r="F237" s="55" t="s">
        <v>209</v>
      </c>
      <c r="G237" s="55" t="s">
        <v>226</v>
      </c>
      <c r="H237" s="56">
        <v>11.1</v>
      </c>
    </row>
    <row r="238" spans="1:8" ht="14">
      <c r="A238" s="54" t="s">
        <v>292</v>
      </c>
      <c r="B238" s="55" t="s">
        <v>204</v>
      </c>
      <c r="C238" s="55" t="s">
        <v>246</v>
      </c>
      <c r="D238" s="55" t="s">
        <v>247</v>
      </c>
      <c r="E238" s="55" t="s">
        <v>359</v>
      </c>
      <c r="F238" s="55" t="s">
        <v>209</v>
      </c>
      <c r="G238" s="55" t="s">
        <v>242</v>
      </c>
      <c r="H238" s="56">
        <v>12.62</v>
      </c>
    </row>
    <row r="239" spans="1:8" ht="14">
      <c r="A239" s="54" t="s">
        <v>292</v>
      </c>
      <c r="B239" s="55" t="s">
        <v>204</v>
      </c>
      <c r="C239" s="55" t="s">
        <v>246</v>
      </c>
      <c r="D239" s="55" t="s">
        <v>247</v>
      </c>
      <c r="E239" s="55" t="s">
        <v>359</v>
      </c>
      <c r="F239" s="55" t="s">
        <v>297</v>
      </c>
      <c r="G239" s="55" t="s">
        <v>298</v>
      </c>
      <c r="H239" s="56">
        <v>47.51</v>
      </c>
    </row>
    <row r="240" spans="1:8" ht="14">
      <c r="A240" s="54" t="s">
        <v>292</v>
      </c>
      <c r="B240" s="55" t="s">
        <v>204</v>
      </c>
      <c r="C240" s="55" t="s">
        <v>246</v>
      </c>
      <c r="D240" s="55" t="s">
        <v>247</v>
      </c>
      <c r="E240" s="55" t="s">
        <v>360</v>
      </c>
      <c r="F240" s="55" t="s">
        <v>207</v>
      </c>
      <c r="G240" s="55" t="s">
        <v>219</v>
      </c>
      <c r="H240" s="56">
        <v>5.3</v>
      </c>
    </row>
    <row r="241" spans="1:8" ht="14">
      <c r="A241" s="54" t="s">
        <v>292</v>
      </c>
      <c r="B241" s="55" t="s">
        <v>204</v>
      </c>
      <c r="C241" s="55" t="s">
        <v>246</v>
      </c>
      <c r="D241" s="55" t="s">
        <v>247</v>
      </c>
      <c r="E241" s="55" t="s">
        <v>360</v>
      </c>
      <c r="F241" s="55" t="s">
        <v>306</v>
      </c>
      <c r="G241" s="55" t="s">
        <v>361</v>
      </c>
      <c r="H241" s="56">
        <v>17.07</v>
      </c>
    </row>
    <row r="242" spans="1:8" ht="14">
      <c r="A242" s="54" t="s">
        <v>292</v>
      </c>
      <c r="B242" s="55" t="s">
        <v>204</v>
      </c>
      <c r="C242" s="55" t="s">
        <v>246</v>
      </c>
      <c r="D242" s="55" t="s">
        <v>247</v>
      </c>
      <c r="E242" s="55" t="s">
        <v>360</v>
      </c>
      <c r="F242" s="55" t="s">
        <v>209</v>
      </c>
      <c r="G242" s="55" t="s">
        <v>362</v>
      </c>
      <c r="H242" s="56">
        <v>35.07</v>
      </c>
    </row>
    <row r="243" spans="1:8" ht="14">
      <c r="A243" s="54" t="s">
        <v>292</v>
      </c>
      <c r="B243" s="55" t="s">
        <v>204</v>
      </c>
      <c r="C243" s="55" t="s">
        <v>246</v>
      </c>
      <c r="D243" s="55" t="s">
        <v>247</v>
      </c>
      <c r="E243" s="55" t="s">
        <v>360</v>
      </c>
      <c r="F243" s="55" t="s">
        <v>209</v>
      </c>
      <c r="G243" s="55" t="s">
        <v>217</v>
      </c>
      <c r="H243" s="56">
        <v>8.16</v>
      </c>
    </row>
    <row r="244" spans="1:8" ht="14">
      <c r="A244" s="54" t="s">
        <v>292</v>
      </c>
      <c r="B244" s="55" t="s">
        <v>204</v>
      </c>
      <c r="C244" s="55" t="s">
        <v>246</v>
      </c>
      <c r="D244" s="55" t="s">
        <v>247</v>
      </c>
      <c r="E244" s="55" t="s">
        <v>360</v>
      </c>
      <c r="F244" s="55" t="s">
        <v>209</v>
      </c>
      <c r="G244" s="55" t="s">
        <v>220</v>
      </c>
      <c r="H244" s="56">
        <v>10.09</v>
      </c>
    </row>
    <row r="245" spans="1:8" ht="14">
      <c r="A245" s="54" t="s">
        <v>292</v>
      </c>
      <c r="B245" s="55" t="s">
        <v>204</v>
      </c>
      <c r="C245" s="55" t="s">
        <v>246</v>
      </c>
      <c r="D245" s="55" t="s">
        <v>247</v>
      </c>
      <c r="E245" s="55" t="s">
        <v>360</v>
      </c>
      <c r="F245" s="55" t="s">
        <v>209</v>
      </c>
      <c r="G245" s="55" t="s">
        <v>226</v>
      </c>
      <c r="H245" s="56">
        <v>8.59</v>
      </c>
    </row>
    <row r="246" spans="1:8" ht="14">
      <c r="A246" s="54" t="s">
        <v>292</v>
      </c>
      <c r="B246" s="55" t="s">
        <v>204</v>
      </c>
      <c r="C246" s="55" t="s">
        <v>246</v>
      </c>
      <c r="D246" s="55" t="s">
        <v>247</v>
      </c>
      <c r="E246" s="55" t="s">
        <v>360</v>
      </c>
      <c r="F246" s="55" t="s">
        <v>297</v>
      </c>
      <c r="G246" s="55" t="s">
        <v>358</v>
      </c>
      <c r="H246" s="56">
        <v>47.51</v>
      </c>
    </row>
    <row r="247" spans="1:8" ht="14">
      <c r="A247" s="54" t="s">
        <v>292</v>
      </c>
      <c r="B247" s="55" t="s">
        <v>204</v>
      </c>
      <c r="C247" s="55" t="s">
        <v>246</v>
      </c>
      <c r="D247" s="55" t="s">
        <v>247</v>
      </c>
      <c r="E247" s="55" t="s">
        <v>363</v>
      </c>
      <c r="F247" s="55" t="s">
        <v>207</v>
      </c>
      <c r="G247" s="55" t="s">
        <v>219</v>
      </c>
      <c r="H247" s="56">
        <v>5.3</v>
      </c>
    </row>
    <row r="248" spans="1:8" ht="14">
      <c r="A248" s="54" t="s">
        <v>292</v>
      </c>
      <c r="B248" s="55" t="s">
        <v>204</v>
      </c>
      <c r="C248" s="55" t="s">
        <v>246</v>
      </c>
      <c r="D248" s="55" t="s">
        <v>247</v>
      </c>
      <c r="E248" s="55" t="s">
        <v>363</v>
      </c>
      <c r="F248" s="55" t="s">
        <v>306</v>
      </c>
      <c r="G248" s="55" t="s">
        <v>361</v>
      </c>
      <c r="H248" s="56">
        <v>17.07</v>
      </c>
    </row>
    <row r="249" spans="1:8" ht="14">
      <c r="A249" s="54" t="s">
        <v>292</v>
      </c>
      <c r="B249" s="55" t="s">
        <v>204</v>
      </c>
      <c r="C249" s="55" t="s">
        <v>246</v>
      </c>
      <c r="D249" s="55" t="s">
        <v>247</v>
      </c>
      <c r="E249" s="55" t="s">
        <v>363</v>
      </c>
      <c r="F249" s="55" t="s">
        <v>209</v>
      </c>
      <c r="G249" s="55" t="s">
        <v>225</v>
      </c>
      <c r="H249" s="56">
        <v>9.07</v>
      </c>
    </row>
    <row r="250" spans="1:8" ht="14">
      <c r="A250" s="54" t="s">
        <v>292</v>
      </c>
      <c r="B250" s="55" t="s">
        <v>204</v>
      </c>
      <c r="C250" s="55" t="s">
        <v>246</v>
      </c>
      <c r="D250" s="55" t="s">
        <v>247</v>
      </c>
      <c r="E250" s="55" t="s">
        <v>363</v>
      </c>
      <c r="F250" s="55" t="s">
        <v>209</v>
      </c>
      <c r="G250" s="55" t="s">
        <v>217</v>
      </c>
      <c r="H250" s="56">
        <v>8.24</v>
      </c>
    </row>
    <row r="251" spans="1:8" ht="14">
      <c r="A251" s="54" t="s">
        <v>292</v>
      </c>
      <c r="B251" s="55" t="s">
        <v>204</v>
      </c>
      <c r="C251" s="55" t="s">
        <v>246</v>
      </c>
      <c r="D251" s="55" t="s">
        <v>247</v>
      </c>
      <c r="E251" s="55" t="s">
        <v>363</v>
      </c>
      <c r="F251" s="55" t="s">
        <v>209</v>
      </c>
      <c r="G251" s="55" t="s">
        <v>220</v>
      </c>
      <c r="H251" s="56">
        <v>8.56</v>
      </c>
    </row>
    <row r="252" spans="1:8" ht="14">
      <c r="A252" s="54" t="s">
        <v>292</v>
      </c>
      <c r="B252" s="55" t="s">
        <v>204</v>
      </c>
      <c r="C252" s="55" t="s">
        <v>246</v>
      </c>
      <c r="D252" s="55" t="s">
        <v>247</v>
      </c>
      <c r="E252" s="55" t="s">
        <v>364</v>
      </c>
      <c r="F252" s="55" t="s">
        <v>207</v>
      </c>
      <c r="G252" s="55" t="s">
        <v>219</v>
      </c>
      <c r="H252" s="56">
        <v>3.89</v>
      </c>
    </row>
    <row r="253" spans="1:8" ht="14">
      <c r="A253" s="54" t="s">
        <v>292</v>
      </c>
      <c r="B253" s="55" t="s">
        <v>204</v>
      </c>
      <c r="C253" s="55" t="s">
        <v>246</v>
      </c>
      <c r="D253" s="55" t="s">
        <v>247</v>
      </c>
      <c r="E253" s="55" t="s">
        <v>364</v>
      </c>
      <c r="F253" s="55" t="s">
        <v>306</v>
      </c>
      <c r="G253" s="55" t="s">
        <v>361</v>
      </c>
      <c r="H253" s="56">
        <v>14.47</v>
      </c>
    </row>
    <row r="254" spans="1:8" ht="14">
      <c r="A254" s="54" t="s">
        <v>292</v>
      </c>
      <c r="B254" s="55" t="s">
        <v>204</v>
      </c>
      <c r="C254" s="55" t="s">
        <v>246</v>
      </c>
      <c r="D254" s="55" t="s">
        <v>247</v>
      </c>
      <c r="E254" s="55" t="s">
        <v>364</v>
      </c>
      <c r="F254" s="55" t="s">
        <v>209</v>
      </c>
      <c r="G254" s="55" t="s">
        <v>362</v>
      </c>
      <c r="H254" s="56">
        <v>21.82</v>
      </c>
    </row>
    <row r="255" spans="1:8" ht="14">
      <c r="A255" s="54" t="s">
        <v>292</v>
      </c>
      <c r="B255" s="55" t="s">
        <v>204</v>
      </c>
      <c r="C255" s="55" t="s">
        <v>246</v>
      </c>
      <c r="D255" s="55" t="s">
        <v>247</v>
      </c>
      <c r="E255" s="55" t="s">
        <v>364</v>
      </c>
      <c r="F255" s="55" t="s">
        <v>209</v>
      </c>
      <c r="G255" s="55" t="s">
        <v>225</v>
      </c>
      <c r="H255" s="56">
        <v>7.9</v>
      </c>
    </row>
    <row r="256" spans="1:8" ht="14">
      <c r="A256" s="54" t="s">
        <v>292</v>
      </c>
      <c r="B256" s="55" t="s">
        <v>204</v>
      </c>
      <c r="C256" s="55" t="s">
        <v>246</v>
      </c>
      <c r="D256" s="55" t="s">
        <v>247</v>
      </c>
      <c r="E256" s="55" t="s">
        <v>364</v>
      </c>
      <c r="F256" s="55" t="s">
        <v>209</v>
      </c>
      <c r="G256" s="55" t="s">
        <v>217</v>
      </c>
      <c r="H256" s="56">
        <v>7.22</v>
      </c>
    </row>
    <row r="257" spans="1:8" ht="14">
      <c r="A257" s="54" t="s">
        <v>292</v>
      </c>
      <c r="B257" s="55" t="s">
        <v>204</v>
      </c>
      <c r="C257" s="55" t="s">
        <v>246</v>
      </c>
      <c r="D257" s="55" t="s">
        <v>247</v>
      </c>
      <c r="E257" s="55" t="s">
        <v>364</v>
      </c>
      <c r="F257" s="55" t="s">
        <v>209</v>
      </c>
      <c r="G257" s="55" t="s">
        <v>220</v>
      </c>
      <c r="H257" s="56">
        <v>7.56</v>
      </c>
    </row>
    <row r="258" spans="1:8" ht="14">
      <c r="A258" s="54" t="s">
        <v>292</v>
      </c>
      <c r="B258" s="55" t="s">
        <v>204</v>
      </c>
      <c r="C258" s="55" t="s">
        <v>246</v>
      </c>
      <c r="D258" s="55" t="s">
        <v>247</v>
      </c>
      <c r="E258" s="55" t="s">
        <v>364</v>
      </c>
      <c r="F258" s="55" t="s">
        <v>297</v>
      </c>
      <c r="G258" s="55" t="s">
        <v>301</v>
      </c>
      <c r="H258" s="56">
        <v>25.4</v>
      </c>
    </row>
    <row r="259" spans="1:8" ht="14">
      <c r="A259" s="54" t="s">
        <v>292</v>
      </c>
      <c r="B259" s="55" t="s">
        <v>204</v>
      </c>
      <c r="C259" s="55" t="s">
        <v>246</v>
      </c>
      <c r="D259" s="55" t="s">
        <v>247</v>
      </c>
      <c r="E259" s="55" t="s">
        <v>365</v>
      </c>
      <c r="F259" s="55" t="s">
        <v>207</v>
      </c>
      <c r="G259" s="55" t="s">
        <v>219</v>
      </c>
      <c r="H259" s="56">
        <v>5.3</v>
      </c>
    </row>
    <row r="260" spans="1:8" ht="14">
      <c r="A260" s="54" t="s">
        <v>292</v>
      </c>
      <c r="B260" s="55" t="s">
        <v>204</v>
      </c>
      <c r="C260" s="55" t="s">
        <v>246</v>
      </c>
      <c r="D260" s="55" t="s">
        <v>247</v>
      </c>
      <c r="E260" s="55" t="s">
        <v>365</v>
      </c>
      <c r="F260" s="55" t="s">
        <v>306</v>
      </c>
      <c r="G260" s="55" t="s">
        <v>361</v>
      </c>
      <c r="H260" s="56">
        <v>17.07</v>
      </c>
    </row>
    <row r="261" spans="1:8" ht="14">
      <c r="A261" s="54" t="s">
        <v>292</v>
      </c>
      <c r="B261" s="55" t="s">
        <v>204</v>
      </c>
      <c r="C261" s="55" t="s">
        <v>246</v>
      </c>
      <c r="D261" s="55" t="s">
        <v>247</v>
      </c>
      <c r="E261" s="55" t="s">
        <v>365</v>
      </c>
      <c r="F261" s="55" t="s">
        <v>209</v>
      </c>
      <c r="G261" s="55" t="s">
        <v>362</v>
      </c>
      <c r="H261" s="56">
        <v>49.77</v>
      </c>
    </row>
    <row r="262" spans="1:8" ht="14">
      <c r="A262" s="54" t="s">
        <v>292</v>
      </c>
      <c r="B262" s="55" t="s">
        <v>204</v>
      </c>
      <c r="C262" s="55" t="s">
        <v>246</v>
      </c>
      <c r="D262" s="55" t="s">
        <v>247</v>
      </c>
      <c r="E262" s="55" t="s">
        <v>365</v>
      </c>
      <c r="F262" s="55" t="s">
        <v>209</v>
      </c>
      <c r="G262" s="55" t="s">
        <v>217</v>
      </c>
      <c r="H262" s="56">
        <v>8.56</v>
      </c>
    </row>
    <row r="263" spans="1:8" ht="14">
      <c r="A263" s="54" t="s">
        <v>292</v>
      </c>
      <c r="B263" s="55" t="s">
        <v>204</v>
      </c>
      <c r="C263" s="55" t="s">
        <v>246</v>
      </c>
      <c r="D263" s="55" t="s">
        <v>247</v>
      </c>
      <c r="E263" s="55" t="s">
        <v>365</v>
      </c>
      <c r="F263" s="55" t="s">
        <v>209</v>
      </c>
      <c r="G263" s="55" t="s">
        <v>220</v>
      </c>
      <c r="H263" s="56">
        <v>10.09</v>
      </c>
    </row>
    <row r="264" spans="1:8" ht="14">
      <c r="A264" s="54" t="s">
        <v>292</v>
      </c>
      <c r="B264" s="55" t="s">
        <v>204</v>
      </c>
      <c r="C264" s="55" t="s">
        <v>246</v>
      </c>
      <c r="D264" s="55" t="s">
        <v>247</v>
      </c>
      <c r="E264" s="55" t="s">
        <v>365</v>
      </c>
      <c r="F264" s="55" t="s">
        <v>209</v>
      </c>
      <c r="G264" s="55" t="s">
        <v>226</v>
      </c>
      <c r="H264" s="56">
        <v>9.07</v>
      </c>
    </row>
    <row r="265" spans="1:8" ht="14">
      <c r="A265" s="54" t="s">
        <v>292</v>
      </c>
      <c r="B265" s="55" t="s">
        <v>204</v>
      </c>
      <c r="C265" s="55" t="s">
        <v>246</v>
      </c>
      <c r="D265" s="55" t="s">
        <v>247</v>
      </c>
      <c r="E265" s="55" t="s">
        <v>365</v>
      </c>
      <c r="F265" s="55" t="s">
        <v>209</v>
      </c>
      <c r="G265" s="55" t="s">
        <v>242</v>
      </c>
      <c r="H265" s="56">
        <v>10.09</v>
      </c>
    </row>
    <row r="266" spans="1:8" ht="14">
      <c r="A266" s="54" t="s">
        <v>292</v>
      </c>
      <c r="B266" s="55" t="s">
        <v>204</v>
      </c>
      <c r="C266" s="55" t="s">
        <v>246</v>
      </c>
      <c r="D266" s="55" t="s">
        <v>247</v>
      </c>
      <c r="E266" s="55" t="s">
        <v>365</v>
      </c>
      <c r="F266" s="55" t="s">
        <v>297</v>
      </c>
      <c r="G266" s="55" t="s">
        <v>358</v>
      </c>
      <c r="H266" s="56">
        <v>34.51</v>
      </c>
    </row>
    <row r="267" spans="1:8" ht="14">
      <c r="A267" s="54" t="s">
        <v>292</v>
      </c>
      <c r="B267" s="55" t="s">
        <v>204</v>
      </c>
      <c r="C267" s="55" t="s">
        <v>246</v>
      </c>
      <c r="D267" s="55" t="s">
        <v>247</v>
      </c>
      <c r="E267" s="55" t="s">
        <v>365</v>
      </c>
      <c r="F267" s="55" t="s">
        <v>297</v>
      </c>
      <c r="G267" s="55" t="s">
        <v>301</v>
      </c>
      <c r="H267" s="56">
        <v>44.26</v>
      </c>
    </row>
    <row r="268" spans="1:8" ht="14">
      <c r="A268" s="54" t="s">
        <v>292</v>
      </c>
      <c r="B268" s="55" t="s">
        <v>204</v>
      </c>
      <c r="C268" s="55" t="s">
        <v>246</v>
      </c>
      <c r="D268" s="55" t="s">
        <v>255</v>
      </c>
      <c r="E268" s="55" t="s">
        <v>366</v>
      </c>
      <c r="F268" s="55" t="s">
        <v>207</v>
      </c>
      <c r="G268" s="55" t="s">
        <v>261</v>
      </c>
      <c r="H268" s="56">
        <v>2.83</v>
      </c>
    </row>
    <row r="269" spans="1:8" ht="14">
      <c r="A269" s="54" t="s">
        <v>292</v>
      </c>
      <c r="B269" s="55" t="s">
        <v>204</v>
      </c>
      <c r="C269" s="55" t="s">
        <v>246</v>
      </c>
      <c r="D269" s="55" t="s">
        <v>255</v>
      </c>
      <c r="E269" s="55" t="s">
        <v>366</v>
      </c>
      <c r="F269" s="55" t="s">
        <v>209</v>
      </c>
      <c r="G269" s="55" t="s">
        <v>262</v>
      </c>
      <c r="H269" s="56">
        <v>4.91</v>
      </c>
    </row>
    <row r="270" spans="1:8" ht="14">
      <c r="A270" s="54" t="s">
        <v>292</v>
      </c>
      <c r="B270" s="55" t="s">
        <v>204</v>
      </c>
      <c r="C270" s="55" t="s">
        <v>246</v>
      </c>
      <c r="D270" s="55" t="s">
        <v>255</v>
      </c>
      <c r="E270" s="55" t="s">
        <v>366</v>
      </c>
      <c r="F270" s="55" t="s">
        <v>209</v>
      </c>
      <c r="G270" s="55" t="s">
        <v>240</v>
      </c>
      <c r="H270" s="56">
        <v>5.18</v>
      </c>
    </row>
    <row r="271" spans="1:8" ht="14">
      <c r="A271" s="54" t="s">
        <v>292</v>
      </c>
      <c r="B271" s="55" t="s">
        <v>204</v>
      </c>
      <c r="C271" s="55" t="s">
        <v>246</v>
      </c>
      <c r="D271" s="55" t="s">
        <v>255</v>
      </c>
      <c r="E271" s="55" t="s">
        <v>366</v>
      </c>
      <c r="F271" s="55" t="s">
        <v>297</v>
      </c>
      <c r="G271" s="57" t="s">
        <v>329</v>
      </c>
      <c r="H271" s="56">
        <v>11.75</v>
      </c>
    </row>
    <row r="272" spans="1:8" ht="14">
      <c r="A272" s="54" t="s">
        <v>292</v>
      </c>
      <c r="B272" s="55" t="s">
        <v>204</v>
      </c>
      <c r="C272" s="55" t="s">
        <v>246</v>
      </c>
      <c r="D272" s="55" t="s">
        <v>255</v>
      </c>
      <c r="E272" s="55" t="s">
        <v>367</v>
      </c>
      <c r="F272" s="55" t="s">
        <v>207</v>
      </c>
      <c r="G272" s="55" t="s">
        <v>261</v>
      </c>
      <c r="H272" s="56">
        <v>2.4700000000000002</v>
      </c>
    </row>
    <row r="273" spans="1:8" ht="14">
      <c r="A273" s="54" t="s">
        <v>292</v>
      </c>
      <c r="B273" s="55" t="s">
        <v>204</v>
      </c>
      <c r="C273" s="55" t="s">
        <v>246</v>
      </c>
      <c r="D273" s="55" t="s">
        <v>255</v>
      </c>
      <c r="E273" s="55" t="s">
        <v>367</v>
      </c>
      <c r="F273" s="55" t="s">
        <v>209</v>
      </c>
      <c r="G273" s="55" t="s">
        <v>368</v>
      </c>
      <c r="H273" s="56">
        <v>15.32</v>
      </c>
    </row>
    <row r="274" spans="1:8" ht="14">
      <c r="A274" s="54" t="s">
        <v>292</v>
      </c>
      <c r="B274" s="55" t="s">
        <v>204</v>
      </c>
      <c r="C274" s="55" t="s">
        <v>246</v>
      </c>
      <c r="D274" s="55" t="s">
        <v>255</v>
      </c>
      <c r="E274" s="55" t="s">
        <v>367</v>
      </c>
      <c r="F274" s="55" t="s">
        <v>209</v>
      </c>
      <c r="G274" s="55" t="s">
        <v>262</v>
      </c>
      <c r="H274" s="56">
        <v>4.91</v>
      </c>
    </row>
    <row r="275" spans="1:8" ht="14">
      <c r="A275" s="54" t="s">
        <v>292</v>
      </c>
      <c r="B275" s="55" t="s">
        <v>204</v>
      </c>
      <c r="C275" s="55" t="s">
        <v>246</v>
      </c>
      <c r="D275" s="55" t="s">
        <v>255</v>
      </c>
      <c r="E275" s="55" t="s">
        <v>367</v>
      </c>
      <c r="F275" s="55" t="s">
        <v>209</v>
      </c>
      <c r="G275" s="55" t="s">
        <v>240</v>
      </c>
      <c r="H275" s="56">
        <v>5.0599999999999996</v>
      </c>
    </row>
    <row r="276" spans="1:8" ht="14">
      <c r="A276" s="54" t="s">
        <v>292</v>
      </c>
      <c r="B276" s="55" t="s">
        <v>204</v>
      </c>
      <c r="C276" s="55" t="s">
        <v>246</v>
      </c>
      <c r="D276" s="55" t="s">
        <v>255</v>
      </c>
      <c r="E276" s="55" t="s">
        <v>367</v>
      </c>
      <c r="F276" s="55" t="s">
        <v>297</v>
      </c>
      <c r="G276" s="55" t="s">
        <v>369</v>
      </c>
      <c r="H276" s="56">
        <v>10.130000000000001</v>
      </c>
    </row>
    <row r="277" spans="1:8" ht="14">
      <c r="A277" s="54" t="s">
        <v>292</v>
      </c>
      <c r="B277" s="55" t="s">
        <v>204</v>
      </c>
      <c r="C277" s="55" t="s">
        <v>246</v>
      </c>
      <c r="D277" s="55" t="s">
        <v>255</v>
      </c>
      <c r="E277" s="55" t="s">
        <v>370</v>
      </c>
      <c r="F277" s="55" t="s">
        <v>207</v>
      </c>
      <c r="G277" s="55" t="s">
        <v>219</v>
      </c>
      <c r="H277" s="56">
        <v>2.81</v>
      </c>
    </row>
    <row r="278" spans="1:8" ht="14">
      <c r="A278" s="54" t="s">
        <v>292</v>
      </c>
      <c r="B278" s="55" t="s">
        <v>204</v>
      </c>
      <c r="C278" s="55" t="s">
        <v>246</v>
      </c>
      <c r="D278" s="55" t="s">
        <v>255</v>
      </c>
      <c r="E278" s="55" t="s">
        <v>370</v>
      </c>
      <c r="F278" s="55" t="s">
        <v>306</v>
      </c>
      <c r="G278" s="55" t="s">
        <v>361</v>
      </c>
      <c r="H278" s="56">
        <v>15.77</v>
      </c>
    </row>
    <row r="279" spans="1:8" ht="14">
      <c r="A279" s="54" t="s">
        <v>292</v>
      </c>
      <c r="B279" s="55" t="s">
        <v>204</v>
      </c>
      <c r="C279" s="55" t="s">
        <v>246</v>
      </c>
      <c r="D279" s="55" t="s">
        <v>255</v>
      </c>
      <c r="E279" s="55" t="s">
        <v>370</v>
      </c>
      <c r="F279" s="55" t="s">
        <v>306</v>
      </c>
      <c r="G279" s="55" t="s">
        <v>371</v>
      </c>
      <c r="H279" s="56">
        <v>12.19</v>
      </c>
    </row>
    <row r="280" spans="1:8" ht="14">
      <c r="A280" s="54" t="s">
        <v>292</v>
      </c>
      <c r="B280" s="55" t="s">
        <v>204</v>
      </c>
      <c r="C280" s="55" t="s">
        <v>246</v>
      </c>
      <c r="D280" s="55" t="s">
        <v>255</v>
      </c>
      <c r="E280" s="55" t="s">
        <v>370</v>
      </c>
      <c r="F280" s="55" t="s">
        <v>209</v>
      </c>
      <c r="G280" s="55" t="s">
        <v>362</v>
      </c>
      <c r="H280" s="56">
        <v>13.69</v>
      </c>
    </row>
    <row r="281" spans="1:8" ht="14">
      <c r="A281" s="54" t="s">
        <v>292</v>
      </c>
      <c r="B281" s="55" t="s">
        <v>204</v>
      </c>
      <c r="C281" s="55" t="s">
        <v>246</v>
      </c>
      <c r="D281" s="55" t="s">
        <v>255</v>
      </c>
      <c r="E281" s="55" t="s">
        <v>370</v>
      </c>
      <c r="F281" s="55" t="s">
        <v>209</v>
      </c>
      <c r="G281" s="55" t="s">
        <v>229</v>
      </c>
      <c r="H281" s="56">
        <v>5.63</v>
      </c>
    </row>
    <row r="282" spans="1:8" ht="14">
      <c r="A282" s="54" t="s">
        <v>292</v>
      </c>
      <c r="B282" s="55" t="s">
        <v>204</v>
      </c>
      <c r="C282" s="55" t="s">
        <v>246</v>
      </c>
      <c r="D282" s="55" t="s">
        <v>255</v>
      </c>
      <c r="E282" s="55" t="s">
        <v>370</v>
      </c>
      <c r="F282" s="55" t="s">
        <v>209</v>
      </c>
      <c r="G282" s="55" t="s">
        <v>217</v>
      </c>
      <c r="H282" s="56">
        <v>4.91</v>
      </c>
    </row>
    <row r="283" spans="1:8" ht="14">
      <c r="A283" s="54" t="s">
        <v>292</v>
      </c>
      <c r="B283" s="55" t="s">
        <v>204</v>
      </c>
      <c r="C283" s="55" t="s">
        <v>246</v>
      </c>
      <c r="D283" s="55" t="s">
        <v>255</v>
      </c>
      <c r="E283" s="55" t="s">
        <v>370</v>
      </c>
      <c r="F283" s="55" t="s">
        <v>209</v>
      </c>
      <c r="G283" s="55" t="s">
        <v>226</v>
      </c>
      <c r="H283" s="56">
        <v>5.2</v>
      </c>
    </row>
    <row r="284" spans="1:8" ht="14">
      <c r="A284" s="54" t="s">
        <v>292</v>
      </c>
      <c r="B284" s="55" t="s">
        <v>204</v>
      </c>
      <c r="C284" s="55" t="s">
        <v>246</v>
      </c>
      <c r="D284" s="55" t="s">
        <v>255</v>
      </c>
      <c r="E284" s="55" t="s">
        <v>370</v>
      </c>
      <c r="F284" s="55" t="s">
        <v>209</v>
      </c>
      <c r="G284" s="55" t="s">
        <v>295</v>
      </c>
      <c r="H284" s="56">
        <v>8.7899999999999991</v>
      </c>
    </row>
    <row r="285" spans="1:8" ht="14">
      <c r="A285" s="54" t="s">
        <v>292</v>
      </c>
      <c r="B285" s="55" t="s">
        <v>204</v>
      </c>
      <c r="C285" s="55" t="s">
        <v>246</v>
      </c>
      <c r="D285" s="55" t="s">
        <v>255</v>
      </c>
      <c r="E285" s="55" t="s">
        <v>370</v>
      </c>
      <c r="F285" s="55" t="s">
        <v>297</v>
      </c>
      <c r="G285" s="55" t="s">
        <v>298</v>
      </c>
      <c r="H285" s="56">
        <v>12.4</v>
      </c>
    </row>
    <row r="286" spans="1:8" ht="14">
      <c r="A286" s="54" t="s">
        <v>292</v>
      </c>
      <c r="B286" s="55" t="s">
        <v>204</v>
      </c>
      <c r="C286" s="55" t="s">
        <v>246</v>
      </c>
      <c r="D286" s="55" t="s">
        <v>255</v>
      </c>
      <c r="E286" s="55" t="s">
        <v>372</v>
      </c>
      <c r="F286" s="55" t="s">
        <v>207</v>
      </c>
      <c r="G286" s="55" t="s">
        <v>261</v>
      </c>
      <c r="H286" s="56">
        <v>2.83</v>
      </c>
    </row>
    <row r="287" spans="1:8" ht="14">
      <c r="A287" s="54" t="s">
        <v>292</v>
      </c>
      <c r="B287" s="55" t="s">
        <v>204</v>
      </c>
      <c r="C287" s="55" t="s">
        <v>246</v>
      </c>
      <c r="D287" s="55" t="s">
        <v>255</v>
      </c>
      <c r="E287" s="55" t="s">
        <v>372</v>
      </c>
      <c r="F287" s="55" t="s">
        <v>209</v>
      </c>
      <c r="G287" s="55" t="s">
        <v>368</v>
      </c>
      <c r="H287" s="56">
        <v>14.34</v>
      </c>
    </row>
    <row r="288" spans="1:8" ht="14">
      <c r="A288" s="54" t="s">
        <v>292</v>
      </c>
      <c r="B288" s="55" t="s">
        <v>204</v>
      </c>
      <c r="C288" s="55" t="s">
        <v>246</v>
      </c>
      <c r="D288" s="55" t="s">
        <v>255</v>
      </c>
      <c r="E288" s="55" t="s">
        <v>372</v>
      </c>
      <c r="F288" s="55" t="s">
        <v>209</v>
      </c>
      <c r="G288" s="55" t="s">
        <v>262</v>
      </c>
      <c r="H288" s="56">
        <v>4.91</v>
      </c>
    </row>
    <row r="289" spans="1:8" ht="14">
      <c r="A289" s="54" t="s">
        <v>292</v>
      </c>
      <c r="B289" s="55" t="s">
        <v>204</v>
      </c>
      <c r="C289" s="55" t="s">
        <v>246</v>
      </c>
      <c r="D289" s="55" t="s">
        <v>255</v>
      </c>
      <c r="E289" s="55" t="s">
        <v>372</v>
      </c>
      <c r="F289" s="55" t="s">
        <v>209</v>
      </c>
      <c r="G289" s="55" t="s">
        <v>226</v>
      </c>
      <c r="H289" s="56">
        <v>5.45</v>
      </c>
    </row>
    <row r="290" spans="1:8" ht="14">
      <c r="A290" s="54" t="s">
        <v>292</v>
      </c>
      <c r="B290" s="55" t="s">
        <v>204</v>
      </c>
      <c r="C290" s="55" t="s">
        <v>246</v>
      </c>
      <c r="D290" s="55" t="s">
        <v>255</v>
      </c>
      <c r="E290" s="55" t="s">
        <v>372</v>
      </c>
      <c r="F290" s="55" t="s">
        <v>297</v>
      </c>
      <c r="G290" s="57" t="s">
        <v>329</v>
      </c>
      <c r="H290" s="56">
        <v>10.130000000000001</v>
      </c>
    </row>
    <row r="291" spans="1:8" ht="14">
      <c r="A291" s="54" t="s">
        <v>292</v>
      </c>
      <c r="B291" s="55" t="s">
        <v>204</v>
      </c>
      <c r="C291" s="55" t="s">
        <v>246</v>
      </c>
      <c r="D291" s="55" t="s">
        <v>255</v>
      </c>
      <c r="E291" s="55" t="s">
        <v>373</v>
      </c>
      <c r="F291" s="55" t="s">
        <v>207</v>
      </c>
      <c r="G291" s="55" t="s">
        <v>261</v>
      </c>
      <c r="H291" s="56">
        <v>2.4700000000000002</v>
      </c>
    </row>
    <row r="292" spans="1:8" ht="14">
      <c r="A292" s="54" t="s">
        <v>292</v>
      </c>
      <c r="B292" s="55" t="s">
        <v>204</v>
      </c>
      <c r="C292" s="55" t="s">
        <v>246</v>
      </c>
      <c r="D292" s="55" t="s">
        <v>255</v>
      </c>
      <c r="E292" s="55" t="s">
        <v>373</v>
      </c>
      <c r="F292" s="55" t="s">
        <v>209</v>
      </c>
      <c r="G292" s="55" t="s">
        <v>368</v>
      </c>
      <c r="H292" s="56">
        <v>14.34</v>
      </c>
    </row>
    <row r="293" spans="1:8" ht="14">
      <c r="A293" s="54" t="s">
        <v>292</v>
      </c>
      <c r="B293" s="55" t="s">
        <v>204</v>
      </c>
      <c r="C293" s="55" t="s">
        <v>246</v>
      </c>
      <c r="D293" s="55" t="s">
        <v>255</v>
      </c>
      <c r="E293" s="55" t="s">
        <v>373</v>
      </c>
      <c r="F293" s="55" t="s">
        <v>209</v>
      </c>
      <c r="G293" s="55" t="s">
        <v>374</v>
      </c>
      <c r="H293" s="56">
        <v>5.76</v>
      </c>
    </row>
    <row r="294" spans="1:8" ht="14">
      <c r="A294" s="54" t="s">
        <v>292</v>
      </c>
      <c r="B294" s="55" t="s">
        <v>204</v>
      </c>
      <c r="C294" s="55" t="s">
        <v>246</v>
      </c>
      <c r="D294" s="55" t="s">
        <v>255</v>
      </c>
      <c r="E294" s="55" t="s">
        <v>373</v>
      </c>
      <c r="F294" s="55" t="s">
        <v>209</v>
      </c>
      <c r="G294" s="55" t="s">
        <v>262</v>
      </c>
      <c r="H294" s="56">
        <v>4.63</v>
      </c>
    </row>
    <row r="295" spans="1:8" ht="14">
      <c r="A295" s="54" t="s">
        <v>292</v>
      </c>
      <c r="B295" s="55" t="s">
        <v>204</v>
      </c>
      <c r="C295" s="55" t="s">
        <v>246</v>
      </c>
      <c r="D295" s="55" t="s">
        <v>255</v>
      </c>
      <c r="E295" s="55" t="s">
        <v>373</v>
      </c>
      <c r="F295" s="55" t="s">
        <v>209</v>
      </c>
      <c r="G295" s="55" t="s">
        <v>263</v>
      </c>
      <c r="H295" s="56">
        <v>5.01</v>
      </c>
    </row>
    <row r="296" spans="1:8" ht="14">
      <c r="A296" s="54" t="s">
        <v>292</v>
      </c>
      <c r="B296" s="55" t="s">
        <v>204</v>
      </c>
      <c r="C296" s="55" t="s">
        <v>246</v>
      </c>
      <c r="D296" s="55" t="s">
        <v>255</v>
      </c>
      <c r="E296" s="55" t="s">
        <v>373</v>
      </c>
      <c r="F296" s="55" t="s">
        <v>209</v>
      </c>
      <c r="G296" s="55" t="s">
        <v>375</v>
      </c>
      <c r="H296" s="56">
        <v>8.91</v>
      </c>
    </row>
    <row r="297" spans="1:8" ht="14">
      <c r="A297" s="54" t="s">
        <v>292</v>
      </c>
      <c r="B297" s="55" t="s">
        <v>204</v>
      </c>
      <c r="C297" s="55" t="s">
        <v>246</v>
      </c>
      <c r="D297" s="55" t="s">
        <v>265</v>
      </c>
      <c r="E297" s="55" t="s">
        <v>376</v>
      </c>
      <c r="F297" s="55" t="s">
        <v>207</v>
      </c>
      <c r="G297" s="55" t="s">
        <v>261</v>
      </c>
      <c r="H297" s="56">
        <v>2.83</v>
      </c>
    </row>
    <row r="298" spans="1:8" ht="14">
      <c r="A298" s="54" t="s">
        <v>292</v>
      </c>
      <c r="B298" s="55" t="s">
        <v>204</v>
      </c>
      <c r="C298" s="55" t="s">
        <v>246</v>
      </c>
      <c r="D298" s="55" t="s">
        <v>265</v>
      </c>
      <c r="E298" s="55" t="s">
        <v>376</v>
      </c>
      <c r="F298" s="55" t="s">
        <v>306</v>
      </c>
      <c r="G298" s="55" t="s">
        <v>305</v>
      </c>
      <c r="H298" s="56">
        <v>13.17</v>
      </c>
    </row>
    <row r="299" spans="1:8" ht="14">
      <c r="A299" s="54" t="s">
        <v>292</v>
      </c>
      <c r="B299" s="55" t="s">
        <v>204</v>
      </c>
      <c r="C299" s="55" t="s">
        <v>246</v>
      </c>
      <c r="D299" s="55" t="s">
        <v>265</v>
      </c>
      <c r="E299" s="55" t="s">
        <v>376</v>
      </c>
      <c r="F299" s="55" t="s">
        <v>209</v>
      </c>
      <c r="G299" s="55" t="s">
        <v>368</v>
      </c>
      <c r="H299" s="56">
        <v>15.64</v>
      </c>
    </row>
    <row r="300" spans="1:8" ht="14">
      <c r="A300" s="54" t="s">
        <v>292</v>
      </c>
      <c r="B300" s="55" t="s">
        <v>204</v>
      </c>
      <c r="C300" s="55" t="s">
        <v>246</v>
      </c>
      <c r="D300" s="55" t="s">
        <v>265</v>
      </c>
      <c r="E300" s="55" t="s">
        <v>376</v>
      </c>
      <c r="F300" s="55" t="s">
        <v>209</v>
      </c>
      <c r="G300" s="55" t="s">
        <v>377</v>
      </c>
      <c r="H300" s="56">
        <v>6.61</v>
      </c>
    </row>
    <row r="301" spans="1:8" ht="14">
      <c r="A301" s="54" t="s">
        <v>292</v>
      </c>
      <c r="B301" s="55" t="s">
        <v>204</v>
      </c>
      <c r="C301" s="55" t="s">
        <v>246</v>
      </c>
      <c r="D301" s="55" t="s">
        <v>265</v>
      </c>
      <c r="E301" s="55" t="s">
        <v>376</v>
      </c>
      <c r="F301" s="55" t="s">
        <v>209</v>
      </c>
      <c r="G301" s="55" t="s">
        <v>262</v>
      </c>
      <c r="H301" s="56">
        <v>5.48</v>
      </c>
    </row>
    <row r="302" spans="1:8" ht="14">
      <c r="A302" s="54" t="s">
        <v>292</v>
      </c>
      <c r="B302" s="55" t="s">
        <v>204</v>
      </c>
      <c r="C302" s="55" t="s">
        <v>246</v>
      </c>
      <c r="D302" s="55" t="s">
        <v>265</v>
      </c>
      <c r="E302" s="55" t="s">
        <v>376</v>
      </c>
      <c r="F302" s="55" t="s">
        <v>209</v>
      </c>
      <c r="G302" s="55" t="s">
        <v>239</v>
      </c>
      <c r="H302" s="56">
        <v>6.61</v>
      </c>
    </row>
    <row r="303" spans="1:8" ht="14">
      <c r="A303" s="54" t="s">
        <v>292</v>
      </c>
      <c r="B303" s="55" t="s">
        <v>204</v>
      </c>
      <c r="C303" s="55" t="s">
        <v>246</v>
      </c>
      <c r="D303" s="55" t="s">
        <v>265</v>
      </c>
      <c r="E303" s="55" t="s">
        <v>376</v>
      </c>
      <c r="F303" s="55" t="s">
        <v>209</v>
      </c>
      <c r="G303" s="55" t="s">
        <v>240</v>
      </c>
      <c r="H303" s="56">
        <v>5.9</v>
      </c>
    </row>
    <row r="304" spans="1:8" ht="14">
      <c r="A304" s="54" t="s">
        <v>292</v>
      </c>
      <c r="B304" s="55" t="s">
        <v>204</v>
      </c>
      <c r="C304" s="55" t="s">
        <v>246</v>
      </c>
      <c r="D304" s="55" t="s">
        <v>265</v>
      </c>
      <c r="E304" s="55" t="s">
        <v>376</v>
      </c>
      <c r="F304" s="55" t="s">
        <v>297</v>
      </c>
      <c r="G304" s="57" t="s">
        <v>329</v>
      </c>
      <c r="H304" s="56">
        <v>24.1</v>
      </c>
    </row>
    <row r="305" spans="1:8" ht="14">
      <c r="A305" s="54" t="s">
        <v>292</v>
      </c>
      <c r="B305" s="55" t="s">
        <v>204</v>
      </c>
      <c r="C305" s="55" t="s">
        <v>246</v>
      </c>
      <c r="D305" s="55" t="s">
        <v>265</v>
      </c>
      <c r="E305" s="55" t="s">
        <v>378</v>
      </c>
      <c r="F305" s="55" t="s">
        <v>207</v>
      </c>
      <c r="G305" s="55" t="s">
        <v>261</v>
      </c>
      <c r="H305" s="56">
        <v>5.85</v>
      </c>
    </row>
    <row r="306" spans="1:8" ht="14">
      <c r="A306" s="54" t="s">
        <v>292</v>
      </c>
      <c r="B306" s="55" t="s">
        <v>204</v>
      </c>
      <c r="C306" s="55" t="s">
        <v>246</v>
      </c>
      <c r="D306" s="55" t="s">
        <v>265</v>
      </c>
      <c r="E306" s="55" t="s">
        <v>378</v>
      </c>
      <c r="F306" s="55" t="s">
        <v>306</v>
      </c>
      <c r="G306" s="55" t="s">
        <v>307</v>
      </c>
      <c r="H306" s="56">
        <v>20.97</v>
      </c>
    </row>
    <row r="307" spans="1:8" ht="14">
      <c r="A307" s="54" t="s">
        <v>292</v>
      </c>
      <c r="B307" s="55" t="s">
        <v>204</v>
      </c>
      <c r="C307" s="55" t="s">
        <v>246</v>
      </c>
      <c r="D307" s="55" t="s">
        <v>265</v>
      </c>
      <c r="E307" s="55" t="s">
        <v>378</v>
      </c>
      <c r="F307" s="55" t="s">
        <v>306</v>
      </c>
      <c r="G307" s="55" t="s">
        <v>305</v>
      </c>
      <c r="H307" s="56">
        <v>13.17</v>
      </c>
    </row>
    <row r="308" spans="1:8" ht="14">
      <c r="A308" s="54" t="s">
        <v>292</v>
      </c>
      <c r="B308" s="55" t="s">
        <v>204</v>
      </c>
      <c r="C308" s="55" t="s">
        <v>246</v>
      </c>
      <c r="D308" s="55" t="s">
        <v>265</v>
      </c>
      <c r="E308" s="55" t="s">
        <v>378</v>
      </c>
      <c r="F308" s="55" t="s">
        <v>209</v>
      </c>
      <c r="G308" s="55" t="s">
        <v>379</v>
      </c>
      <c r="H308" s="56">
        <v>7.22</v>
      </c>
    </row>
    <row r="309" spans="1:8" ht="14">
      <c r="A309" s="54" t="s">
        <v>292</v>
      </c>
      <c r="B309" s="55" t="s">
        <v>204</v>
      </c>
      <c r="C309" s="55" t="s">
        <v>246</v>
      </c>
      <c r="D309" s="55" t="s">
        <v>265</v>
      </c>
      <c r="E309" s="55" t="s">
        <v>378</v>
      </c>
      <c r="F309" s="55" t="s">
        <v>209</v>
      </c>
      <c r="G309" s="55" t="s">
        <v>374</v>
      </c>
      <c r="H309" s="56">
        <v>6.88</v>
      </c>
    </row>
    <row r="310" spans="1:8" ht="14">
      <c r="A310" s="54" t="s">
        <v>292</v>
      </c>
      <c r="B310" s="55" t="s">
        <v>204</v>
      </c>
      <c r="C310" s="55" t="s">
        <v>246</v>
      </c>
      <c r="D310" s="55" t="s">
        <v>265</v>
      </c>
      <c r="E310" s="55" t="s">
        <v>378</v>
      </c>
      <c r="F310" s="55" t="s">
        <v>209</v>
      </c>
      <c r="G310" s="55" t="s">
        <v>262</v>
      </c>
      <c r="H310" s="56">
        <v>5.86</v>
      </c>
    </row>
    <row r="311" spans="1:8" ht="14">
      <c r="A311" s="54" t="s">
        <v>292</v>
      </c>
      <c r="B311" s="55" t="s">
        <v>204</v>
      </c>
      <c r="C311" s="55" t="s">
        <v>246</v>
      </c>
      <c r="D311" s="55" t="s">
        <v>265</v>
      </c>
      <c r="E311" s="55" t="s">
        <v>378</v>
      </c>
      <c r="F311" s="55" t="s">
        <v>209</v>
      </c>
      <c r="G311" s="55" t="s">
        <v>240</v>
      </c>
      <c r="H311" s="56">
        <v>6.2</v>
      </c>
    </row>
    <row r="312" spans="1:8" ht="14">
      <c r="A312" s="54" t="s">
        <v>292</v>
      </c>
      <c r="B312" s="55" t="s">
        <v>204</v>
      </c>
      <c r="C312" s="55" t="s">
        <v>246</v>
      </c>
      <c r="D312" s="55" t="s">
        <v>265</v>
      </c>
      <c r="E312" s="55" t="s">
        <v>378</v>
      </c>
      <c r="F312" s="55" t="s">
        <v>297</v>
      </c>
      <c r="G312" s="55" t="s">
        <v>380</v>
      </c>
      <c r="H312" s="56">
        <v>16.3</v>
      </c>
    </row>
    <row r="313" spans="1:8" ht="14">
      <c r="A313" s="54" t="s">
        <v>292</v>
      </c>
      <c r="B313" s="55" t="s">
        <v>204</v>
      </c>
      <c r="C313" s="55" t="s">
        <v>246</v>
      </c>
      <c r="D313" s="55" t="s">
        <v>265</v>
      </c>
      <c r="E313" s="55" t="s">
        <v>381</v>
      </c>
      <c r="F313" s="55" t="s">
        <v>207</v>
      </c>
      <c r="G313" s="55" t="s">
        <v>261</v>
      </c>
      <c r="H313" s="56">
        <v>3.18</v>
      </c>
    </row>
    <row r="314" spans="1:8" ht="14">
      <c r="A314" s="54" t="s">
        <v>292</v>
      </c>
      <c r="B314" s="55" t="s">
        <v>204</v>
      </c>
      <c r="C314" s="55" t="s">
        <v>246</v>
      </c>
      <c r="D314" s="55" t="s">
        <v>265</v>
      </c>
      <c r="E314" s="55" t="s">
        <v>381</v>
      </c>
      <c r="F314" s="55" t="s">
        <v>306</v>
      </c>
      <c r="G314" s="55" t="s">
        <v>305</v>
      </c>
      <c r="H314" s="56">
        <v>13.17</v>
      </c>
    </row>
    <row r="315" spans="1:8" ht="14">
      <c r="A315" s="54" t="s">
        <v>292</v>
      </c>
      <c r="B315" s="55" t="s">
        <v>204</v>
      </c>
      <c r="C315" s="55" t="s">
        <v>246</v>
      </c>
      <c r="D315" s="55" t="s">
        <v>265</v>
      </c>
      <c r="E315" s="55" t="s">
        <v>381</v>
      </c>
      <c r="F315" s="55" t="s">
        <v>209</v>
      </c>
      <c r="G315" s="55" t="s">
        <v>368</v>
      </c>
      <c r="H315" s="56">
        <v>15.97</v>
      </c>
    </row>
    <row r="316" spans="1:8" ht="14">
      <c r="A316" s="54" t="s">
        <v>292</v>
      </c>
      <c r="B316" s="55" t="s">
        <v>204</v>
      </c>
      <c r="C316" s="55" t="s">
        <v>246</v>
      </c>
      <c r="D316" s="55" t="s">
        <v>265</v>
      </c>
      <c r="E316" s="55" t="s">
        <v>381</v>
      </c>
      <c r="F316" s="55" t="s">
        <v>209</v>
      </c>
      <c r="G316" s="55" t="s">
        <v>374</v>
      </c>
      <c r="H316" s="56">
        <v>6.69</v>
      </c>
    </row>
    <row r="317" spans="1:8" ht="14">
      <c r="A317" s="54" t="s">
        <v>292</v>
      </c>
      <c r="B317" s="55" t="s">
        <v>204</v>
      </c>
      <c r="C317" s="55" t="s">
        <v>246</v>
      </c>
      <c r="D317" s="55" t="s">
        <v>265</v>
      </c>
      <c r="E317" s="55" t="s">
        <v>381</v>
      </c>
      <c r="F317" s="55" t="s">
        <v>209</v>
      </c>
      <c r="G317" s="55" t="s">
        <v>220</v>
      </c>
      <c r="H317" s="56">
        <v>6.19</v>
      </c>
    </row>
    <row r="318" spans="1:8" ht="14">
      <c r="A318" s="54" t="s">
        <v>292</v>
      </c>
      <c r="B318" s="55" t="s">
        <v>204</v>
      </c>
      <c r="C318" s="55" t="s">
        <v>246</v>
      </c>
      <c r="D318" s="55" t="s">
        <v>265</v>
      </c>
      <c r="E318" s="55" t="s">
        <v>381</v>
      </c>
      <c r="F318" s="55" t="s">
        <v>209</v>
      </c>
      <c r="G318" s="55" t="s">
        <v>262</v>
      </c>
      <c r="H318" s="56">
        <v>5.48</v>
      </c>
    </row>
    <row r="319" spans="1:8" ht="14">
      <c r="A319" s="54" t="s">
        <v>292</v>
      </c>
      <c r="B319" s="55" t="s">
        <v>204</v>
      </c>
      <c r="C319" s="55" t="s">
        <v>246</v>
      </c>
      <c r="D319" s="55" t="s">
        <v>265</v>
      </c>
      <c r="E319" s="55" t="s">
        <v>381</v>
      </c>
      <c r="F319" s="55" t="s">
        <v>209</v>
      </c>
      <c r="G319" s="55" t="s">
        <v>240</v>
      </c>
      <c r="H319" s="56">
        <v>5.99</v>
      </c>
    </row>
    <row r="320" spans="1:8" ht="14">
      <c r="A320" s="54" t="s">
        <v>292</v>
      </c>
      <c r="B320" s="55" t="s">
        <v>204</v>
      </c>
      <c r="C320" s="55" t="s">
        <v>246</v>
      </c>
      <c r="D320" s="55" t="s">
        <v>265</v>
      </c>
      <c r="E320" s="55" t="s">
        <v>381</v>
      </c>
      <c r="F320" s="55" t="s">
        <v>297</v>
      </c>
      <c r="G320" s="55" t="s">
        <v>380</v>
      </c>
      <c r="H320" s="56">
        <v>13.7</v>
      </c>
    </row>
    <row r="321" spans="1:8" ht="14">
      <c r="A321" s="54" t="s">
        <v>292</v>
      </c>
      <c r="B321" s="55" t="s">
        <v>204</v>
      </c>
      <c r="C321" s="55" t="s">
        <v>246</v>
      </c>
      <c r="D321" s="55" t="s">
        <v>265</v>
      </c>
      <c r="E321" s="55" t="s">
        <v>382</v>
      </c>
      <c r="F321" s="55" t="s">
        <v>207</v>
      </c>
      <c r="G321" s="55" t="s">
        <v>261</v>
      </c>
      <c r="H321" s="56">
        <v>3.53</v>
      </c>
    </row>
    <row r="322" spans="1:8" ht="14">
      <c r="A322" s="54" t="s">
        <v>292</v>
      </c>
      <c r="B322" s="55" t="s">
        <v>204</v>
      </c>
      <c r="C322" s="55" t="s">
        <v>246</v>
      </c>
      <c r="D322" s="55" t="s">
        <v>265</v>
      </c>
      <c r="E322" s="55" t="s">
        <v>382</v>
      </c>
      <c r="F322" s="55" t="s">
        <v>209</v>
      </c>
      <c r="G322" s="55" t="s">
        <v>368</v>
      </c>
      <c r="H322" s="56">
        <v>21.82</v>
      </c>
    </row>
    <row r="323" spans="1:8" ht="14">
      <c r="A323" s="54" t="s">
        <v>292</v>
      </c>
      <c r="B323" s="55" t="s">
        <v>204</v>
      </c>
      <c r="C323" s="55" t="s">
        <v>246</v>
      </c>
      <c r="D323" s="55" t="s">
        <v>265</v>
      </c>
      <c r="E323" s="55" t="s">
        <v>382</v>
      </c>
      <c r="F323" s="55" t="s">
        <v>209</v>
      </c>
      <c r="G323" s="55" t="s">
        <v>374</v>
      </c>
      <c r="H323" s="56">
        <v>6.88</v>
      </c>
    </row>
    <row r="324" spans="1:8" ht="14">
      <c r="A324" s="54" t="s">
        <v>292</v>
      </c>
      <c r="B324" s="55" t="s">
        <v>204</v>
      </c>
      <c r="C324" s="55" t="s">
        <v>246</v>
      </c>
      <c r="D324" s="55" t="s">
        <v>265</v>
      </c>
      <c r="E324" s="55" t="s">
        <v>382</v>
      </c>
      <c r="F324" s="55" t="s">
        <v>209</v>
      </c>
      <c r="G324" s="55" t="s">
        <v>262</v>
      </c>
      <c r="H324" s="56">
        <v>6.2</v>
      </c>
    </row>
    <row r="325" spans="1:8" ht="14">
      <c r="A325" s="54" t="s">
        <v>292</v>
      </c>
      <c r="B325" s="55" t="s">
        <v>204</v>
      </c>
      <c r="C325" s="55" t="s">
        <v>246</v>
      </c>
      <c r="D325" s="55" t="s">
        <v>265</v>
      </c>
      <c r="E325" s="55" t="s">
        <v>382</v>
      </c>
      <c r="F325" s="55" t="s">
        <v>209</v>
      </c>
      <c r="G325" s="55" t="s">
        <v>240</v>
      </c>
      <c r="H325" s="56">
        <v>6.51</v>
      </c>
    </row>
    <row r="326" spans="1:8" ht="14">
      <c r="A326" s="54" t="s">
        <v>292</v>
      </c>
      <c r="B326" s="55" t="s">
        <v>204</v>
      </c>
      <c r="C326" s="55" t="s">
        <v>246</v>
      </c>
      <c r="D326" s="55" t="s">
        <v>265</v>
      </c>
      <c r="E326" s="55" t="s">
        <v>382</v>
      </c>
      <c r="F326" s="55" t="s">
        <v>297</v>
      </c>
      <c r="G326" s="57" t="s">
        <v>329</v>
      </c>
      <c r="H326" s="56">
        <v>25.4</v>
      </c>
    </row>
    <row r="327" spans="1:8" ht="14">
      <c r="A327" s="54" t="s">
        <v>292</v>
      </c>
      <c r="B327" s="55" t="s">
        <v>204</v>
      </c>
      <c r="C327" s="55" t="s">
        <v>246</v>
      </c>
      <c r="D327" s="55" t="s">
        <v>265</v>
      </c>
      <c r="E327" s="55" t="s">
        <v>383</v>
      </c>
      <c r="F327" s="55" t="s">
        <v>207</v>
      </c>
      <c r="G327" s="55" t="s">
        <v>261</v>
      </c>
      <c r="H327" s="56">
        <v>2.83</v>
      </c>
    </row>
    <row r="328" spans="1:8" ht="14">
      <c r="A328" s="54" t="s">
        <v>292</v>
      </c>
      <c r="B328" s="55" t="s">
        <v>204</v>
      </c>
      <c r="C328" s="55" t="s">
        <v>246</v>
      </c>
      <c r="D328" s="55" t="s">
        <v>265</v>
      </c>
      <c r="E328" s="55" t="s">
        <v>383</v>
      </c>
      <c r="F328" s="55" t="s">
        <v>306</v>
      </c>
      <c r="G328" s="55" t="s">
        <v>305</v>
      </c>
      <c r="H328" s="56">
        <v>13.17</v>
      </c>
    </row>
    <row r="329" spans="1:8" ht="14">
      <c r="A329" s="54" t="s">
        <v>292</v>
      </c>
      <c r="B329" s="55" t="s">
        <v>204</v>
      </c>
      <c r="C329" s="55" t="s">
        <v>246</v>
      </c>
      <c r="D329" s="55" t="s">
        <v>265</v>
      </c>
      <c r="E329" s="55" t="s">
        <v>383</v>
      </c>
      <c r="F329" s="55" t="s">
        <v>209</v>
      </c>
      <c r="G329" s="55" t="s">
        <v>368</v>
      </c>
      <c r="H329" s="56">
        <v>14.34</v>
      </c>
    </row>
    <row r="330" spans="1:8" ht="14">
      <c r="A330" s="54" t="s">
        <v>292</v>
      </c>
      <c r="B330" s="55" t="s">
        <v>204</v>
      </c>
      <c r="C330" s="55" t="s">
        <v>246</v>
      </c>
      <c r="D330" s="55" t="s">
        <v>265</v>
      </c>
      <c r="E330" s="55" t="s">
        <v>383</v>
      </c>
      <c r="F330" s="55" t="s">
        <v>209</v>
      </c>
      <c r="G330" s="55" t="s">
        <v>374</v>
      </c>
      <c r="H330" s="56">
        <v>6.19</v>
      </c>
    </row>
    <row r="331" spans="1:8" ht="14">
      <c r="A331" s="54" t="s">
        <v>292</v>
      </c>
      <c r="B331" s="55" t="s">
        <v>204</v>
      </c>
      <c r="C331" s="55" t="s">
        <v>246</v>
      </c>
      <c r="D331" s="55" t="s">
        <v>265</v>
      </c>
      <c r="E331" s="55" t="s">
        <v>383</v>
      </c>
      <c r="F331" s="55" t="s">
        <v>209</v>
      </c>
      <c r="G331" s="55" t="s">
        <v>220</v>
      </c>
      <c r="H331" s="56">
        <v>6.88</v>
      </c>
    </row>
    <row r="332" spans="1:8" ht="14">
      <c r="A332" s="54" t="s">
        <v>292</v>
      </c>
      <c r="B332" s="55" t="s">
        <v>204</v>
      </c>
      <c r="C332" s="55" t="s">
        <v>246</v>
      </c>
      <c r="D332" s="55" t="s">
        <v>265</v>
      </c>
      <c r="E332" s="55" t="s">
        <v>383</v>
      </c>
      <c r="F332" s="55" t="s">
        <v>209</v>
      </c>
      <c r="G332" s="55" t="s">
        <v>262</v>
      </c>
      <c r="H332" s="56">
        <v>5.34</v>
      </c>
    </row>
    <row r="333" spans="1:8" ht="14">
      <c r="A333" s="54" t="s">
        <v>292</v>
      </c>
      <c r="B333" s="55" t="s">
        <v>204</v>
      </c>
      <c r="C333" s="55" t="s">
        <v>246</v>
      </c>
      <c r="D333" s="55" t="s">
        <v>265</v>
      </c>
      <c r="E333" s="55" t="s">
        <v>383</v>
      </c>
      <c r="F333" s="55" t="s">
        <v>209</v>
      </c>
      <c r="G333" s="55" t="s">
        <v>277</v>
      </c>
      <c r="H333" s="56">
        <v>5.34</v>
      </c>
    </row>
    <row r="334" spans="1:8" ht="14">
      <c r="A334" s="54" t="s">
        <v>292</v>
      </c>
      <c r="B334" s="55" t="s">
        <v>204</v>
      </c>
      <c r="C334" s="55" t="s">
        <v>246</v>
      </c>
      <c r="D334" s="55" t="s">
        <v>265</v>
      </c>
      <c r="E334" s="55" t="s">
        <v>383</v>
      </c>
      <c r="F334" s="55" t="s">
        <v>209</v>
      </c>
      <c r="G334" s="55" t="s">
        <v>240</v>
      </c>
      <c r="H334" s="56">
        <v>5.48</v>
      </c>
    </row>
    <row r="335" spans="1:8" ht="14">
      <c r="A335" s="54" t="s">
        <v>292</v>
      </c>
      <c r="B335" s="55" t="s">
        <v>204</v>
      </c>
      <c r="C335" s="55" t="s">
        <v>246</v>
      </c>
      <c r="D335" s="55" t="s">
        <v>265</v>
      </c>
      <c r="E335" s="55" t="s">
        <v>383</v>
      </c>
      <c r="F335" s="55" t="s">
        <v>297</v>
      </c>
      <c r="G335" s="55" t="s">
        <v>380</v>
      </c>
      <c r="H335" s="56">
        <v>13.7</v>
      </c>
    </row>
    <row r="336" spans="1:8" ht="14">
      <c r="A336" s="54" t="s">
        <v>292</v>
      </c>
      <c r="B336" s="55" t="s">
        <v>204</v>
      </c>
      <c r="C336" s="55" t="s">
        <v>246</v>
      </c>
      <c r="D336" s="55" t="s">
        <v>265</v>
      </c>
      <c r="E336" s="55" t="s">
        <v>384</v>
      </c>
      <c r="F336" s="55" t="s">
        <v>207</v>
      </c>
      <c r="G336" s="55" t="s">
        <v>219</v>
      </c>
      <c r="H336" s="56">
        <v>4.2300000000000004</v>
      </c>
    </row>
    <row r="337" spans="1:8" ht="14">
      <c r="A337" s="54" t="s">
        <v>292</v>
      </c>
      <c r="B337" s="55" t="s">
        <v>204</v>
      </c>
      <c r="C337" s="55" t="s">
        <v>246</v>
      </c>
      <c r="D337" s="55" t="s">
        <v>265</v>
      </c>
      <c r="E337" s="55" t="s">
        <v>384</v>
      </c>
      <c r="F337" s="55" t="s">
        <v>306</v>
      </c>
      <c r="G337" s="55" t="s">
        <v>361</v>
      </c>
      <c r="H337" s="56">
        <v>14.47</v>
      </c>
    </row>
    <row r="338" spans="1:8" ht="14">
      <c r="A338" s="54" t="s">
        <v>292</v>
      </c>
      <c r="B338" s="55" t="s">
        <v>204</v>
      </c>
      <c r="C338" s="55" t="s">
        <v>246</v>
      </c>
      <c r="D338" s="55" t="s">
        <v>265</v>
      </c>
      <c r="E338" s="55" t="s">
        <v>384</v>
      </c>
      <c r="F338" s="55" t="s">
        <v>209</v>
      </c>
      <c r="G338" s="55" t="s">
        <v>217</v>
      </c>
      <c r="H338" s="56">
        <v>7.22</v>
      </c>
    </row>
    <row r="339" spans="1:8" ht="14">
      <c r="A339" s="54" t="s">
        <v>292</v>
      </c>
      <c r="B339" s="55" t="s">
        <v>204</v>
      </c>
      <c r="C339" s="55" t="s">
        <v>246</v>
      </c>
      <c r="D339" s="55" t="s">
        <v>265</v>
      </c>
      <c r="E339" s="55" t="s">
        <v>384</v>
      </c>
      <c r="F339" s="55" t="s">
        <v>209</v>
      </c>
      <c r="G339" s="55" t="s">
        <v>226</v>
      </c>
      <c r="H339" s="56">
        <v>7.56</v>
      </c>
    </row>
    <row r="340" spans="1:8" ht="14">
      <c r="A340" s="54" t="s">
        <v>292</v>
      </c>
      <c r="B340" s="55" t="s">
        <v>204</v>
      </c>
      <c r="C340" s="55" t="s">
        <v>246</v>
      </c>
      <c r="D340" s="55" t="s">
        <v>265</v>
      </c>
      <c r="E340" s="55" t="s">
        <v>384</v>
      </c>
      <c r="F340" s="55" t="s">
        <v>297</v>
      </c>
      <c r="G340" s="55" t="s">
        <v>298</v>
      </c>
      <c r="H340" s="56">
        <v>24.1</v>
      </c>
    </row>
    <row r="341" spans="1:8" ht="14">
      <c r="A341" s="54" t="s">
        <v>292</v>
      </c>
      <c r="B341" s="55" t="s">
        <v>204</v>
      </c>
      <c r="C341" s="55" t="s">
        <v>246</v>
      </c>
      <c r="D341" s="55" t="s">
        <v>265</v>
      </c>
      <c r="E341" s="55" t="s">
        <v>385</v>
      </c>
      <c r="F341" s="55" t="s">
        <v>207</v>
      </c>
      <c r="G341" s="55" t="s">
        <v>261</v>
      </c>
      <c r="H341" s="56">
        <v>2.83</v>
      </c>
    </row>
    <row r="342" spans="1:8" ht="14">
      <c r="A342" s="54" t="s">
        <v>292</v>
      </c>
      <c r="B342" s="55" t="s">
        <v>204</v>
      </c>
      <c r="C342" s="55" t="s">
        <v>246</v>
      </c>
      <c r="D342" s="55" t="s">
        <v>265</v>
      </c>
      <c r="E342" s="55" t="s">
        <v>385</v>
      </c>
      <c r="F342" s="55" t="s">
        <v>306</v>
      </c>
      <c r="G342" s="55" t="s">
        <v>305</v>
      </c>
      <c r="H342" s="56">
        <v>12.19</v>
      </c>
    </row>
    <row r="343" spans="1:8" ht="14">
      <c r="A343" s="54" t="s">
        <v>292</v>
      </c>
      <c r="B343" s="55" t="s">
        <v>204</v>
      </c>
      <c r="C343" s="55" t="s">
        <v>246</v>
      </c>
      <c r="D343" s="55" t="s">
        <v>265</v>
      </c>
      <c r="E343" s="55" t="s">
        <v>385</v>
      </c>
      <c r="F343" s="55" t="s">
        <v>209</v>
      </c>
      <c r="G343" s="55" t="s">
        <v>368</v>
      </c>
      <c r="H343" s="56">
        <v>15.32</v>
      </c>
    </row>
    <row r="344" spans="1:8" ht="14">
      <c r="A344" s="54" t="s">
        <v>292</v>
      </c>
      <c r="B344" s="55" t="s">
        <v>204</v>
      </c>
      <c r="C344" s="55" t="s">
        <v>246</v>
      </c>
      <c r="D344" s="55" t="s">
        <v>265</v>
      </c>
      <c r="E344" s="55" t="s">
        <v>385</v>
      </c>
      <c r="F344" s="55" t="s">
        <v>209</v>
      </c>
      <c r="G344" s="55" t="s">
        <v>374</v>
      </c>
      <c r="H344" s="56">
        <v>6.13</v>
      </c>
    </row>
    <row r="345" spans="1:8" ht="14">
      <c r="A345" s="54" t="s">
        <v>292</v>
      </c>
      <c r="B345" s="55" t="s">
        <v>204</v>
      </c>
      <c r="C345" s="55" t="s">
        <v>246</v>
      </c>
      <c r="D345" s="55" t="s">
        <v>265</v>
      </c>
      <c r="E345" s="55" t="s">
        <v>385</v>
      </c>
      <c r="F345" s="55" t="s">
        <v>209</v>
      </c>
      <c r="G345" s="55" t="s">
        <v>220</v>
      </c>
      <c r="H345" s="56">
        <v>5.34</v>
      </c>
    </row>
    <row r="346" spans="1:8" ht="14">
      <c r="A346" s="54" t="s">
        <v>292</v>
      </c>
      <c r="B346" s="55" t="s">
        <v>204</v>
      </c>
      <c r="C346" s="55" t="s">
        <v>246</v>
      </c>
      <c r="D346" s="55" t="s">
        <v>265</v>
      </c>
      <c r="E346" s="55" t="s">
        <v>385</v>
      </c>
      <c r="F346" s="55" t="s">
        <v>209</v>
      </c>
      <c r="G346" s="55" t="s">
        <v>262</v>
      </c>
      <c r="H346" s="56">
        <v>5.0599999999999996</v>
      </c>
    </row>
    <row r="347" spans="1:8" ht="14">
      <c r="A347" s="54" t="s">
        <v>292</v>
      </c>
      <c r="B347" s="55" t="s">
        <v>204</v>
      </c>
      <c r="C347" s="55" t="s">
        <v>246</v>
      </c>
      <c r="D347" s="55" t="s">
        <v>265</v>
      </c>
      <c r="E347" s="55" t="s">
        <v>385</v>
      </c>
      <c r="F347" s="55" t="s">
        <v>209</v>
      </c>
      <c r="G347" s="55" t="s">
        <v>240</v>
      </c>
      <c r="H347" s="56">
        <v>5.2</v>
      </c>
    </row>
    <row r="348" spans="1:8" ht="14">
      <c r="A348" s="54" t="s">
        <v>292</v>
      </c>
      <c r="B348" s="55" t="s">
        <v>204</v>
      </c>
      <c r="C348" s="55" t="s">
        <v>246</v>
      </c>
      <c r="D348" s="55" t="s">
        <v>265</v>
      </c>
      <c r="E348" s="55" t="s">
        <v>385</v>
      </c>
      <c r="F348" s="55" t="s">
        <v>297</v>
      </c>
      <c r="G348" s="57" t="s">
        <v>329</v>
      </c>
      <c r="H348" s="56">
        <v>12.4</v>
      </c>
    </row>
    <row r="349" spans="1:8" ht="14">
      <c r="A349" s="54" t="s">
        <v>292</v>
      </c>
      <c r="B349" s="55" t="s">
        <v>204</v>
      </c>
      <c r="C349" s="55" t="s">
        <v>246</v>
      </c>
      <c r="D349" s="55" t="s">
        <v>265</v>
      </c>
      <c r="E349" s="55" t="s">
        <v>386</v>
      </c>
      <c r="F349" s="55" t="s">
        <v>207</v>
      </c>
      <c r="G349" s="55" t="s">
        <v>261</v>
      </c>
      <c r="H349" s="56">
        <v>3.18</v>
      </c>
    </row>
    <row r="350" spans="1:8" ht="14">
      <c r="A350" s="54" t="s">
        <v>292</v>
      </c>
      <c r="B350" s="55" t="s">
        <v>204</v>
      </c>
      <c r="C350" s="55" t="s">
        <v>246</v>
      </c>
      <c r="D350" s="55" t="s">
        <v>265</v>
      </c>
      <c r="E350" s="55" t="s">
        <v>386</v>
      </c>
      <c r="F350" s="55" t="s">
        <v>306</v>
      </c>
      <c r="G350" s="55" t="s">
        <v>305</v>
      </c>
      <c r="H350" s="56">
        <v>13.17</v>
      </c>
    </row>
    <row r="351" spans="1:8" ht="14">
      <c r="A351" s="54" t="s">
        <v>292</v>
      </c>
      <c r="B351" s="55" t="s">
        <v>204</v>
      </c>
      <c r="C351" s="55" t="s">
        <v>246</v>
      </c>
      <c r="D351" s="55" t="s">
        <v>265</v>
      </c>
      <c r="E351" s="55" t="s">
        <v>386</v>
      </c>
      <c r="F351" s="55" t="s">
        <v>209</v>
      </c>
      <c r="G351" s="55" t="s">
        <v>368</v>
      </c>
      <c r="H351" s="56">
        <v>16.62</v>
      </c>
    </row>
    <row r="352" spans="1:8" ht="14">
      <c r="A352" s="54" t="s">
        <v>292</v>
      </c>
      <c r="B352" s="55" t="s">
        <v>204</v>
      </c>
      <c r="C352" s="55" t="s">
        <v>246</v>
      </c>
      <c r="D352" s="55" t="s">
        <v>265</v>
      </c>
      <c r="E352" s="55" t="s">
        <v>386</v>
      </c>
      <c r="F352" s="55" t="s">
        <v>209</v>
      </c>
      <c r="G352" s="55" t="s">
        <v>387</v>
      </c>
      <c r="H352" s="56">
        <v>7.05</v>
      </c>
    </row>
    <row r="353" spans="1:8" ht="14">
      <c r="A353" s="54" t="s">
        <v>292</v>
      </c>
      <c r="B353" s="55" t="s">
        <v>204</v>
      </c>
      <c r="C353" s="55" t="s">
        <v>246</v>
      </c>
      <c r="D353" s="55" t="s">
        <v>265</v>
      </c>
      <c r="E353" s="55" t="s">
        <v>386</v>
      </c>
      <c r="F353" s="55" t="s">
        <v>209</v>
      </c>
      <c r="G353" s="55" t="s">
        <v>374</v>
      </c>
      <c r="H353" s="56">
        <v>6.69</v>
      </c>
    </row>
    <row r="354" spans="1:8" ht="14">
      <c r="A354" s="54" t="s">
        <v>292</v>
      </c>
      <c r="B354" s="55" t="s">
        <v>204</v>
      </c>
      <c r="C354" s="55" t="s">
        <v>246</v>
      </c>
      <c r="D354" s="55" t="s">
        <v>265</v>
      </c>
      <c r="E354" s="55" t="s">
        <v>386</v>
      </c>
      <c r="F354" s="55" t="s">
        <v>209</v>
      </c>
      <c r="G354" s="55" t="s">
        <v>262</v>
      </c>
      <c r="H354" s="56">
        <v>5.71</v>
      </c>
    </row>
    <row r="355" spans="1:8" ht="14">
      <c r="A355" s="54" t="s">
        <v>292</v>
      </c>
      <c r="B355" s="55" t="s">
        <v>204</v>
      </c>
      <c r="C355" s="55" t="s">
        <v>246</v>
      </c>
      <c r="D355" s="55" t="s">
        <v>265</v>
      </c>
      <c r="E355" s="55" t="s">
        <v>386</v>
      </c>
      <c r="F355" s="55" t="s">
        <v>209</v>
      </c>
      <c r="G355" s="55" t="s">
        <v>240</v>
      </c>
      <c r="H355" s="56">
        <v>6.06</v>
      </c>
    </row>
    <row r="356" spans="1:8" ht="14">
      <c r="A356" s="54" t="s">
        <v>292</v>
      </c>
      <c r="B356" s="55" t="s">
        <v>204</v>
      </c>
      <c r="C356" s="55" t="s">
        <v>246</v>
      </c>
      <c r="D356" s="55" t="s">
        <v>265</v>
      </c>
      <c r="E356" s="55" t="s">
        <v>386</v>
      </c>
      <c r="F356" s="55" t="s">
        <v>297</v>
      </c>
      <c r="G356" s="57" t="s">
        <v>329</v>
      </c>
      <c r="H356" s="56">
        <v>25.4</v>
      </c>
    </row>
    <row r="357" spans="1:8" ht="14">
      <c r="A357" s="54" t="s">
        <v>292</v>
      </c>
      <c r="B357" s="55" t="s">
        <v>204</v>
      </c>
      <c r="C357" s="55" t="s">
        <v>246</v>
      </c>
      <c r="D357" s="55" t="s">
        <v>265</v>
      </c>
      <c r="E357" s="55" t="s">
        <v>388</v>
      </c>
      <c r="F357" s="55" t="s">
        <v>207</v>
      </c>
      <c r="G357" s="55" t="s">
        <v>261</v>
      </c>
      <c r="H357" s="56">
        <v>5.3</v>
      </c>
    </row>
    <row r="358" spans="1:8" ht="14">
      <c r="A358" s="54" t="s">
        <v>292</v>
      </c>
      <c r="B358" s="55" t="s">
        <v>204</v>
      </c>
      <c r="C358" s="55" t="s">
        <v>246</v>
      </c>
      <c r="D358" s="55" t="s">
        <v>265</v>
      </c>
      <c r="E358" s="55" t="s">
        <v>388</v>
      </c>
      <c r="F358" s="55" t="s">
        <v>306</v>
      </c>
      <c r="G358" s="55" t="s">
        <v>389</v>
      </c>
      <c r="H358" s="56">
        <v>42.42</v>
      </c>
    </row>
    <row r="359" spans="1:8" ht="14">
      <c r="A359" s="54" t="s">
        <v>292</v>
      </c>
      <c r="B359" s="55" t="s">
        <v>204</v>
      </c>
      <c r="C359" s="55" t="s">
        <v>246</v>
      </c>
      <c r="D359" s="55" t="s">
        <v>265</v>
      </c>
      <c r="E359" s="55" t="s">
        <v>388</v>
      </c>
      <c r="F359" s="55" t="s">
        <v>209</v>
      </c>
      <c r="G359" s="55" t="s">
        <v>368</v>
      </c>
      <c r="H359" s="56">
        <v>35.07</v>
      </c>
    </row>
    <row r="360" spans="1:8" ht="14">
      <c r="A360" s="54" t="s">
        <v>292</v>
      </c>
      <c r="B360" s="55" t="s">
        <v>204</v>
      </c>
      <c r="C360" s="55" t="s">
        <v>246</v>
      </c>
      <c r="D360" s="55" t="s">
        <v>265</v>
      </c>
      <c r="E360" s="55" t="s">
        <v>388</v>
      </c>
      <c r="F360" s="55" t="s">
        <v>209</v>
      </c>
      <c r="G360" s="55" t="s">
        <v>387</v>
      </c>
      <c r="H360" s="56">
        <v>12.62</v>
      </c>
    </row>
    <row r="361" spans="1:8" ht="14">
      <c r="A361" s="54" t="s">
        <v>292</v>
      </c>
      <c r="B361" s="55" t="s">
        <v>204</v>
      </c>
      <c r="C361" s="55" t="s">
        <v>246</v>
      </c>
      <c r="D361" s="55" t="s">
        <v>265</v>
      </c>
      <c r="E361" s="55" t="s">
        <v>388</v>
      </c>
      <c r="F361" s="55" t="s">
        <v>209</v>
      </c>
      <c r="G361" s="55" t="s">
        <v>374</v>
      </c>
      <c r="H361" s="56">
        <v>12.12</v>
      </c>
    </row>
    <row r="362" spans="1:8" ht="14">
      <c r="A362" s="54" t="s">
        <v>292</v>
      </c>
      <c r="B362" s="55" t="s">
        <v>204</v>
      </c>
      <c r="C362" s="55" t="s">
        <v>246</v>
      </c>
      <c r="D362" s="55" t="s">
        <v>265</v>
      </c>
      <c r="E362" s="55" t="s">
        <v>388</v>
      </c>
      <c r="F362" s="55" t="s">
        <v>209</v>
      </c>
      <c r="G362" s="55" t="s">
        <v>262</v>
      </c>
      <c r="H362" s="56">
        <v>9.86</v>
      </c>
    </row>
    <row r="363" spans="1:8" ht="14">
      <c r="A363" s="54" t="s">
        <v>292</v>
      </c>
      <c r="B363" s="55" t="s">
        <v>204</v>
      </c>
      <c r="C363" s="55" t="s">
        <v>246</v>
      </c>
      <c r="D363" s="55" t="s">
        <v>265</v>
      </c>
      <c r="E363" s="55" t="s">
        <v>388</v>
      </c>
      <c r="F363" s="55" t="s">
        <v>209</v>
      </c>
      <c r="G363" s="55" t="s">
        <v>240</v>
      </c>
      <c r="H363" s="56">
        <v>10.6</v>
      </c>
    </row>
    <row r="364" spans="1:8" ht="14">
      <c r="A364" s="54" t="s">
        <v>292</v>
      </c>
      <c r="B364" s="55" t="s">
        <v>204</v>
      </c>
      <c r="C364" s="55" t="s">
        <v>246</v>
      </c>
      <c r="D364" s="55" t="s">
        <v>265</v>
      </c>
      <c r="E364" s="55" t="s">
        <v>388</v>
      </c>
      <c r="F364" s="55" t="s">
        <v>297</v>
      </c>
      <c r="G364" s="55" t="s">
        <v>390</v>
      </c>
      <c r="H364" s="56">
        <v>21.5</v>
      </c>
    </row>
    <row r="365" spans="1:8" ht="14">
      <c r="A365" s="54" t="s">
        <v>292</v>
      </c>
      <c r="B365" s="55" t="s">
        <v>204</v>
      </c>
      <c r="C365" s="55" t="s">
        <v>246</v>
      </c>
      <c r="D365" s="55" t="s">
        <v>265</v>
      </c>
      <c r="E365" s="55" t="s">
        <v>388</v>
      </c>
      <c r="F365" s="55" t="s">
        <v>297</v>
      </c>
      <c r="G365" s="57" t="s">
        <v>329</v>
      </c>
      <c r="H365" s="56">
        <v>41.01</v>
      </c>
    </row>
    <row r="366" spans="1:8" ht="14">
      <c r="A366" s="54" t="s">
        <v>292</v>
      </c>
      <c r="B366" s="55" t="s">
        <v>204</v>
      </c>
      <c r="C366" s="55" t="s">
        <v>246</v>
      </c>
      <c r="D366" s="55" t="s">
        <v>265</v>
      </c>
      <c r="E366" s="55" t="s">
        <v>391</v>
      </c>
      <c r="F366" s="55" t="s">
        <v>207</v>
      </c>
      <c r="G366" s="55" t="s">
        <v>261</v>
      </c>
      <c r="H366" s="56">
        <v>3.53</v>
      </c>
    </row>
    <row r="367" spans="1:8" ht="14">
      <c r="A367" s="54" t="s">
        <v>292</v>
      </c>
      <c r="B367" s="55" t="s">
        <v>204</v>
      </c>
      <c r="C367" s="55" t="s">
        <v>246</v>
      </c>
      <c r="D367" s="55" t="s">
        <v>265</v>
      </c>
      <c r="E367" s="55" t="s">
        <v>391</v>
      </c>
      <c r="F367" s="55" t="s">
        <v>306</v>
      </c>
      <c r="G367" s="55" t="s">
        <v>305</v>
      </c>
      <c r="H367" s="56">
        <v>14.47</v>
      </c>
    </row>
    <row r="368" spans="1:8" ht="14">
      <c r="A368" s="54" t="s">
        <v>292</v>
      </c>
      <c r="B368" s="55" t="s">
        <v>204</v>
      </c>
      <c r="C368" s="55" t="s">
        <v>246</v>
      </c>
      <c r="D368" s="55" t="s">
        <v>265</v>
      </c>
      <c r="E368" s="55" t="s">
        <v>391</v>
      </c>
      <c r="F368" s="55" t="s">
        <v>209</v>
      </c>
      <c r="G368" s="55" t="s">
        <v>368</v>
      </c>
      <c r="H368" s="56">
        <v>21.65</v>
      </c>
    </row>
    <row r="369" spans="1:8" ht="14">
      <c r="A369" s="54" t="s">
        <v>292</v>
      </c>
      <c r="B369" s="55" t="s">
        <v>204</v>
      </c>
      <c r="C369" s="55" t="s">
        <v>246</v>
      </c>
      <c r="D369" s="55" t="s">
        <v>265</v>
      </c>
      <c r="E369" s="55" t="s">
        <v>391</v>
      </c>
      <c r="F369" s="55" t="s">
        <v>209</v>
      </c>
      <c r="G369" s="55" t="s">
        <v>392</v>
      </c>
      <c r="H369" s="56">
        <v>7.56</v>
      </c>
    </row>
    <row r="370" spans="1:8" ht="14">
      <c r="A370" s="54" t="s">
        <v>292</v>
      </c>
      <c r="B370" s="55" t="s">
        <v>204</v>
      </c>
      <c r="C370" s="55" t="s">
        <v>246</v>
      </c>
      <c r="D370" s="55" t="s">
        <v>265</v>
      </c>
      <c r="E370" s="55" t="s">
        <v>391</v>
      </c>
      <c r="F370" s="55" t="s">
        <v>209</v>
      </c>
      <c r="G370" s="55" t="s">
        <v>262</v>
      </c>
      <c r="H370" s="56">
        <v>6.31</v>
      </c>
    </row>
    <row r="371" spans="1:8" ht="14">
      <c r="A371" s="54" t="s">
        <v>292</v>
      </c>
      <c r="B371" s="55" t="s">
        <v>204</v>
      </c>
      <c r="C371" s="55" t="s">
        <v>246</v>
      </c>
      <c r="D371" s="55" t="s">
        <v>265</v>
      </c>
      <c r="E371" s="55" t="s">
        <v>391</v>
      </c>
      <c r="F371" s="55" t="s">
        <v>209</v>
      </c>
      <c r="G371" s="55" t="s">
        <v>240</v>
      </c>
      <c r="H371" s="56">
        <v>7.05</v>
      </c>
    </row>
    <row r="372" spans="1:8" ht="14">
      <c r="A372" s="54" t="s">
        <v>292</v>
      </c>
      <c r="B372" s="55" t="s">
        <v>204</v>
      </c>
      <c r="C372" s="55" t="s">
        <v>246</v>
      </c>
      <c r="D372" s="55" t="s">
        <v>265</v>
      </c>
      <c r="E372" s="55" t="s">
        <v>391</v>
      </c>
      <c r="F372" s="55" t="s">
        <v>297</v>
      </c>
      <c r="G372" s="55" t="s">
        <v>369</v>
      </c>
      <c r="H372" s="56">
        <v>25.4</v>
      </c>
    </row>
    <row r="373" spans="1:8" ht="14">
      <c r="A373" s="54" t="s">
        <v>292</v>
      </c>
      <c r="B373" s="55" t="s">
        <v>204</v>
      </c>
      <c r="C373" s="55" t="s">
        <v>246</v>
      </c>
      <c r="D373" s="55" t="s">
        <v>265</v>
      </c>
      <c r="E373" s="55" t="s">
        <v>393</v>
      </c>
      <c r="F373" s="55" t="s">
        <v>207</v>
      </c>
      <c r="G373" s="55" t="s">
        <v>261</v>
      </c>
      <c r="H373" s="56">
        <v>3.89</v>
      </c>
    </row>
    <row r="374" spans="1:8" ht="14">
      <c r="A374" s="54" t="s">
        <v>292</v>
      </c>
      <c r="B374" s="55" t="s">
        <v>204</v>
      </c>
      <c r="C374" s="55" t="s">
        <v>246</v>
      </c>
      <c r="D374" s="55" t="s">
        <v>265</v>
      </c>
      <c r="E374" s="55" t="s">
        <v>393</v>
      </c>
      <c r="F374" s="55" t="s">
        <v>306</v>
      </c>
      <c r="G374" s="55" t="s">
        <v>389</v>
      </c>
      <c r="H374" s="56">
        <v>48.93</v>
      </c>
    </row>
    <row r="375" spans="1:8" ht="14">
      <c r="A375" s="54" t="s">
        <v>292</v>
      </c>
      <c r="B375" s="55" t="s">
        <v>204</v>
      </c>
      <c r="C375" s="55" t="s">
        <v>246</v>
      </c>
      <c r="D375" s="55" t="s">
        <v>265</v>
      </c>
      <c r="E375" s="55" t="s">
        <v>393</v>
      </c>
      <c r="F375" s="55" t="s">
        <v>209</v>
      </c>
      <c r="G375" s="55" t="s">
        <v>368</v>
      </c>
      <c r="H375" s="56">
        <v>35.07</v>
      </c>
    </row>
    <row r="376" spans="1:8" ht="14">
      <c r="A376" s="54" t="s">
        <v>292</v>
      </c>
      <c r="B376" s="55" t="s">
        <v>204</v>
      </c>
      <c r="C376" s="55" t="s">
        <v>246</v>
      </c>
      <c r="D376" s="55" t="s">
        <v>265</v>
      </c>
      <c r="E376" s="55" t="s">
        <v>393</v>
      </c>
      <c r="F376" s="55" t="s">
        <v>209</v>
      </c>
      <c r="G376" s="55" t="s">
        <v>387</v>
      </c>
      <c r="H376" s="56">
        <v>8.16</v>
      </c>
    </row>
    <row r="377" spans="1:8" ht="14">
      <c r="A377" s="54" t="s">
        <v>292</v>
      </c>
      <c r="B377" s="55" t="s">
        <v>204</v>
      </c>
      <c r="C377" s="55" t="s">
        <v>246</v>
      </c>
      <c r="D377" s="55" t="s">
        <v>265</v>
      </c>
      <c r="E377" s="55" t="s">
        <v>393</v>
      </c>
      <c r="F377" s="55" t="s">
        <v>209</v>
      </c>
      <c r="G377" s="55" t="s">
        <v>374</v>
      </c>
      <c r="H377" s="56">
        <v>8.59</v>
      </c>
    </row>
    <row r="378" spans="1:8" ht="14">
      <c r="A378" s="54" t="s">
        <v>292</v>
      </c>
      <c r="B378" s="55" t="s">
        <v>204</v>
      </c>
      <c r="C378" s="55" t="s">
        <v>246</v>
      </c>
      <c r="D378" s="55" t="s">
        <v>265</v>
      </c>
      <c r="E378" s="55" t="s">
        <v>393</v>
      </c>
      <c r="F378" s="55" t="s">
        <v>209</v>
      </c>
      <c r="G378" s="55" t="s">
        <v>262</v>
      </c>
      <c r="H378" s="56">
        <v>7.4</v>
      </c>
    </row>
    <row r="379" spans="1:8" ht="14">
      <c r="A379" s="54" t="s">
        <v>292</v>
      </c>
      <c r="B379" s="55" t="s">
        <v>204</v>
      </c>
      <c r="C379" s="55" t="s">
        <v>246</v>
      </c>
      <c r="D379" s="55" t="s">
        <v>265</v>
      </c>
      <c r="E379" s="55" t="s">
        <v>393</v>
      </c>
      <c r="F379" s="55" t="s">
        <v>209</v>
      </c>
      <c r="G379" s="55" t="s">
        <v>226</v>
      </c>
      <c r="H379" s="56">
        <v>7.74</v>
      </c>
    </row>
    <row r="380" spans="1:8" ht="14">
      <c r="A380" s="54" t="s">
        <v>292</v>
      </c>
      <c r="B380" s="55" t="s">
        <v>204</v>
      </c>
      <c r="C380" s="55" t="s">
        <v>246</v>
      </c>
      <c r="D380" s="55" t="s">
        <v>265</v>
      </c>
      <c r="E380" s="55" t="s">
        <v>393</v>
      </c>
      <c r="F380" s="55" t="s">
        <v>297</v>
      </c>
      <c r="G380" s="55" t="s">
        <v>380</v>
      </c>
      <c r="H380" s="56">
        <v>47.51</v>
      </c>
    </row>
    <row r="381" spans="1:8" ht="14">
      <c r="A381" s="54" t="s">
        <v>292</v>
      </c>
      <c r="B381" s="55" t="s">
        <v>204</v>
      </c>
      <c r="C381" s="55" t="s">
        <v>246</v>
      </c>
      <c r="D381" s="55" t="s">
        <v>265</v>
      </c>
      <c r="E381" s="55" t="s">
        <v>393</v>
      </c>
      <c r="F381" s="55" t="s">
        <v>297</v>
      </c>
      <c r="G381" s="57" t="s">
        <v>329</v>
      </c>
      <c r="H381" s="56">
        <v>28.01</v>
      </c>
    </row>
    <row r="382" spans="1:8" ht="14">
      <c r="A382" s="54" t="s">
        <v>292</v>
      </c>
      <c r="B382" s="55" t="s">
        <v>204</v>
      </c>
      <c r="C382" s="55" t="s">
        <v>246</v>
      </c>
      <c r="D382" s="55" t="s">
        <v>265</v>
      </c>
      <c r="E382" s="55" t="s">
        <v>394</v>
      </c>
      <c r="F382" s="55" t="s">
        <v>207</v>
      </c>
      <c r="G382" s="55" t="s">
        <v>261</v>
      </c>
      <c r="H382" s="56">
        <v>4.2300000000000004</v>
      </c>
    </row>
    <row r="383" spans="1:8" ht="14">
      <c r="A383" s="54" t="s">
        <v>292</v>
      </c>
      <c r="B383" s="55" t="s">
        <v>204</v>
      </c>
      <c r="C383" s="55" t="s">
        <v>246</v>
      </c>
      <c r="D383" s="55" t="s">
        <v>265</v>
      </c>
      <c r="E383" s="55" t="s">
        <v>394</v>
      </c>
      <c r="F383" s="55" t="s">
        <v>209</v>
      </c>
      <c r="G383" s="55" t="s">
        <v>262</v>
      </c>
      <c r="H383" s="56">
        <v>6.54</v>
      </c>
    </row>
    <row r="384" spans="1:8" ht="14">
      <c r="A384" s="54" t="s">
        <v>292</v>
      </c>
      <c r="B384" s="55" t="s">
        <v>204</v>
      </c>
      <c r="C384" s="55" t="s">
        <v>246</v>
      </c>
      <c r="D384" s="55" t="s">
        <v>265</v>
      </c>
      <c r="E384" s="55" t="s">
        <v>394</v>
      </c>
      <c r="F384" s="55" t="s">
        <v>209</v>
      </c>
      <c r="G384" s="55" t="s">
        <v>240</v>
      </c>
      <c r="H384" s="56">
        <v>6.88</v>
      </c>
    </row>
    <row r="385" spans="1:8" ht="14">
      <c r="A385" s="54" t="s">
        <v>292</v>
      </c>
      <c r="B385" s="55" t="s">
        <v>204</v>
      </c>
      <c r="C385" s="55" t="s">
        <v>246</v>
      </c>
      <c r="D385" s="55" t="s">
        <v>265</v>
      </c>
      <c r="E385" s="55" t="s">
        <v>394</v>
      </c>
      <c r="F385" s="55" t="s">
        <v>297</v>
      </c>
      <c r="G385" s="57" t="s">
        <v>329</v>
      </c>
      <c r="H385" s="56">
        <v>25.4</v>
      </c>
    </row>
    <row r="386" spans="1:8" ht="14">
      <c r="A386" s="54" t="s">
        <v>292</v>
      </c>
      <c r="B386" s="55" t="s">
        <v>204</v>
      </c>
      <c r="C386" s="55" t="s">
        <v>246</v>
      </c>
      <c r="D386" s="55" t="s">
        <v>265</v>
      </c>
      <c r="E386" s="55" t="s">
        <v>395</v>
      </c>
      <c r="F386" s="55" t="s">
        <v>207</v>
      </c>
      <c r="G386" s="55" t="s">
        <v>261</v>
      </c>
      <c r="H386" s="56">
        <v>2.83</v>
      </c>
    </row>
    <row r="387" spans="1:8" ht="14">
      <c r="A387" s="54" t="s">
        <v>292</v>
      </c>
      <c r="B387" s="55" t="s">
        <v>204</v>
      </c>
      <c r="C387" s="55" t="s">
        <v>246</v>
      </c>
      <c r="D387" s="55" t="s">
        <v>265</v>
      </c>
      <c r="E387" s="55" t="s">
        <v>395</v>
      </c>
      <c r="F387" s="55" t="s">
        <v>209</v>
      </c>
      <c r="G387" s="55" t="s">
        <v>368</v>
      </c>
      <c r="H387" s="56">
        <v>15.97</v>
      </c>
    </row>
    <row r="388" spans="1:8" ht="14">
      <c r="A388" s="54" t="s">
        <v>292</v>
      </c>
      <c r="B388" s="55" t="s">
        <v>204</v>
      </c>
      <c r="C388" s="55" t="s">
        <v>246</v>
      </c>
      <c r="D388" s="55" t="s">
        <v>265</v>
      </c>
      <c r="E388" s="55" t="s">
        <v>395</v>
      </c>
      <c r="F388" s="55" t="s">
        <v>209</v>
      </c>
      <c r="G388" s="55" t="s">
        <v>262</v>
      </c>
      <c r="H388" s="56">
        <v>5.35</v>
      </c>
    </row>
    <row r="389" spans="1:8" ht="14">
      <c r="A389" s="54" t="s">
        <v>292</v>
      </c>
      <c r="B389" s="55" t="s">
        <v>204</v>
      </c>
      <c r="C389" s="55" t="s">
        <v>246</v>
      </c>
      <c r="D389" s="55" t="s">
        <v>265</v>
      </c>
      <c r="E389" s="55" t="s">
        <v>395</v>
      </c>
      <c r="F389" s="55" t="s">
        <v>209</v>
      </c>
      <c r="G389" s="55" t="s">
        <v>240</v>
      </c>
      <c r="H389" s="56">
        <v>5.69</v>
      </c>
    </row>
    <row r="390" spans="1:8" ht="14">
      <c r="A390" s="54" t="s">
        <v>292</v>
      </c>
      <c r="B390" s="55" t="s">
        <v>204</v>
      </c>
      <c r="C390" s="55" t="s">
        <v>246</v>
      </c>
      <c r="D390" s="55" t="s">
        <v>265</v>
      </c>
      <c r="E390" s="55" t="s">
        <v>395</v>
      </c>
      <c r="F390" s="55" t="s">
        <v>297</v>
      </c>
      <c r="G390" s="57" t="s">
        <v>329</v>
      </c>
      <c r="H390" s="56">
        <v>13.7</v>
      </c>
    </row>
    <row r="391" spans="1:8" ht="14">
      <c r="A391" s="54" t="s">
        <v>292</v>
      </c>
      <c r="B391" s="55" t="s">
        <v>204</v>
      </c>
      <c r="C391" s="55" t="s">
        <v>246</v>
      </c>
      <c r="D391" s="55" t="s">
        <v>279</v>
      </c>
      <c r="E391" s="55" t="s">
        <v>396</v>
      </c>
      <c r="F391" s="55" t="s">
        <v>207</v>
      </c>
      <c r="G391" s="55" t="s">
        <v>219</v>
      </c>
      <c r="H391" s="56">
        <v>5.65</v>
      </c>
    </row>
    <row r="392" spans="1:8" ht="14">
      <c r="A392" s="54" t="s">
        <v>292</v>
      </c>
      <c r="B392" s="55" t="s">
        <v>204</v>
      </c>
      <c r="C392" s="55" t="s">
        <v>246</v>
      </c>
      <c r="D392" s="55" t="s">
        <v>279</v>
      </c>
      <c r="E392" s="55" t="s">
        <v>396</v>
      </c>
      <c r="F392" s="55" t="s">
        <v>306</v>
      </c>
      <c r="G392" s="55" t="s">
        <v>361</v>
      </c>
      <c r="H392" s="56">
        <v>17.07</v>
      </c>
    </row>
    <row r="393" spans="1:8" ht="14">
      <c r="A393" s="54" t="s">
        <v>292</v>
      </c>
      <c r="B393" s="55" t="s">
        <v>204</v>
      </c>
      <c r="C393" s="55" t="s">
        <v>246</v>
      </c>
      <c r="D393" s="55" t="s">
        <v>279</v>
      </c>
      <c r="E393" s="55" t="s">
        <v>396</v>
      </c>
      <c r="F393" s="55" t="s">
        <v>209</v>
      </c>
      <c r="G393" s="55" t="s">
        <v>217</v>
      </c>
      <c r="H393" s="56">
        <v>10.09</v>
      </c>
    </row>
    <row r="394" spans="1:8" ht="14">
      <c r="A394" s="54" t="s">
        <v>292</v>
      </c>
      <c r="B394" s="55" t="s">
        <v>204</v>
      </c>
      <c r="C394" s="55" t="s">
        <v>246</v>
      </c>
      <c r="D394" s="55" t="s">
        <v>279</v>
      </c>
      <c r="E394" s="55" t="s">
        <v>396</v>
      </c>
      <c r="F394" s="55" t="s">
        <v>209</v>
      </c>
      <c r="G394" s="55" t="s">
        <v>220</v>
      </c>
      <c r="H394" s="56">
        <v>10.6</v>
      </c>
    </row>
    <row r="395" spans="1:8" ht="14">
      <c r="A395" s="54" t="s">
        <v>292</v>
      </c>
      <c r="B395" s="55" t="s">
        <v>204</v>
      </c>
      <c r="C395" s="55" t="s">
        <v>246</v>
      </c>
      <c r="D395" s="55" t="s">
        <v>279</v>
      </c>
      <c r="E395" s="55" t="s">
        <v>396</v>
      </c>
      <c r="F395" s="55" t="s">
        <v>209</v>
      </c>
      <c r="G395" s="55" t="s">
        <v>242</v>
      </c>
      <c r="H395" s="56">
        <v>11.1</v>
      </c>
    </row>
    <row r="396" spans="1:8" ht="14">
      <c r="A396" s="54" t="s">
        <v>292</v>
      </c>
      <c r="B396" s="55" t="s">
        <v>204</v>
      </c>
      <c r="C396" s="55" t="s">
        <v>246</v>
      </c>
      <c r="D396" s="55" t="s">
        <v>279</v>
      </c>
      <c r="E396" s="55" t="s">
        <v>397</v>
      </c>
      <c r="F396" s="55" t="s">
        <v>207</v>
      </c>
      <c r="G396" s="55" t="s">
        <v>219</v>
      </c>
      <c r="H396" s="56">
        <v>5.65</v>
      </c>
    </row>
    <row r="397" spans="1:8" ht="14">
      <c r="A397" s="54" t="s">
        <v>292</v>
      </c>
      <c r="B397" s="55" t="s">
        <v>204</v>
      </c>
      <c r="C397" s="55" t="s">
        <v>246</v>
      </c>
      <c r="D397" s="55" t="s">
        <v>279</v>
      </c>
      <c r="E397" s="55" t="s">
        <v>397</v>
      </c>
      <c r="F397" s="55" t="s">
        <v>306</v>
      </c>
      <c r="G397" s="55" t="s">
        <v>361</v>
      </c>
      <c r="H397" s="56">
        <v>17.07</v>
      </c>
    </row>
    <row r="398" spans="1:8" ht="14">
      <c r="A398" s="54" t="s">
        <v>292</v>
      </c>
      <c r="B398" s="55" t="s">
        <v>204</v>
      </c>
      <c r="C398" s="55" t="s">
        <v>246</v>
      </c>
      <c r="D398" s="55" t="s">
        <v>279</v>
      </c>
      <c r="E398" s="55" t="s">
        <v>397</v>
      </c>
      <c r="F398" s="55" t="s">
        <v>209</v>
      </c>
      <c r="G398" s="55" t="s">
        <v>217</v>
      </c>
      <c r="H398" s="56">
        <v>9.07</v>
      </c>
    </row>
    <row r="399" spans="1:8" ht="14">
      <c r="A399" s="54" t="s">
        <v>292</v>
      </c>
      <c r="B399" s="55" t="s">
        <v>204</v>
      </c>
      <c r="C399" s="55" t="s">
        <v>246</v>
      </c>
      <c r="D399" s="55" t="s">
        <v>279</v>
      </c>
      <c r="E399" s="55" t="s">
        <v>397</v>
      </c>
      <c r="F399" s="55" t="s">
        <v>209</v>
      </c>
      <c r="G399" s="55" t="s">
        <v>220</v>
      </c>
      <c r="H399" s="56">
        <v>9.58</v>
      </c>
    </row>
    <row r="400" spans="1:8" ht="14">
      <c r="A400" s="54" t="s">
        <v>292</v>
      </c>
      <c r="B400" s="55" t="s">
        <v>204</v>
      </c>
      <c r="C400" s="55" t="s">
        <v>246</v>
      </c>
      <c r="D400" s="55" t="s">
        <v>279</v>
      </c>
      <c r="E400" s="55" t="s">
        <v>397</v>
      </c>
      <c r="F400" s="55" t="s">
        <v>209</v>
      </c>
      <c r="G400" s="55" t="s">
        <v>242</v>
      </c>
      <c r="H400" s="56">
        <v>10.09</v>
      </c>
    </row>
    <row r="401" spans="1:8" ht="14">
      <c r="A401" s="54" t="s">
        <v>292</v>
      </c>
      <c r="B401" s="55" t="s">
        <v>204</v>
      </c>
      <c r="C401" s="55" t="s">
        <v>246</v>
      </c>
      <c r="D401" s="55" t="s">
        <v>279</v>
      </c>
      <c r="E401" s="55" t="s">
        <v>398</v>
      </c>
      <c r="F401" s="55" t="s">
        <v>207</v>
      </c>
      <c r="G401" s="55" t="s">
        <v>219</v>
      </c>
      <c r="H401" s="56">
        <v>5.65</v>
      </c>
    </row>
    <row r="402" spans="1:8" ht="14">
      <c r="A402" s="54" t="s">
        <v>292</v>
      </c>
      <c r="B402" s="55" t="s">
        <v>204</v>
      </c>
      <c r="C402" s="55" t="s">
        <v>246</v>
      </c>
      <c r="D402" s="55" t="s">
        <v>279</v>
      </c>
      <c r="E402" s="55" t="s">
        <v>398</v>
      </c>
      <c r="F402" s="55" t="s">
        <v>306</v>
      </c>
      <c r="G402" s="55" t="s">
        <v>361</v>
      </c>
      <c r="H402" s="56">
        <v>18.37</v>
      </c>
    </row>
    <row r="403" spans="1:8" ht="14">
      <c r="A403" s="54" t="s">
        <v>292</v>
      </c>
      <c r="B403" s="55" t="s">
        <v>204</v>
      </c>
      <c r="C403" s="55" t="s">
        <v>246</v>
      </c>
      <c r="D403" s="55" t="s">
        <v>279</v>
      </c>
      <c r="E403" s="55" t="s">
        <v>398</v>
      </c>
      <c r="F403" s="55" t="s">
        <v>209</v>
      </c>
      <c r="G403" s="55" t="s">
        <v>217</v>
      </c>
      <c r="H403" s="56">
        <v>10.6</v>
      </c>
    </row>
    <row r="404" spans="1:8" ht="14">
      <c r="A404" s="54" t="s">
        <v>292</v>
      </c>
      <c r="B404" s="55" t="s">
        <v>204</v>
      </c>
      <c r="C404" s="55" t="s">
        <v>246</v>
      </c>
      <c r="D404" s="55" t="s">
        <v>279</v>
      </c>
      <c r="E404" s="55" t="s">
        <v>398</v>
      </c>
      <c r="F404" s="55" t="s">
        <v>209</v>
      </c>
      <c r="G404" s="55" t="s">
        <v>220</v>
      </c>
      <c r="H404" s="56">
        <v>11.1</v>
      </c>
    </row>
    <row r="405" spans="1:8" ht="14">
      <c r="A405" s="54" t="s">
        <v>292</v>
      </c>
      <c r="B405" s="55" t="s">
        <v>204</v>
      </c>
      <c r="C405" s="55" t="s">
        <v>246</v>
      </c>
      <c r="D405" s="55" t="s">
        <v>279</v>
      </c>
      <c r="E405" s="55" t="s">
        <v>398</v>
      </c>
      <c r="F405" s="55" t="s">
        <v>209</v>
      </c>
      <c r="G405" s="55" t="s">
        <v>242</v>
      </c>
      <c r="H405" s="56">
        <v>11.61</v>
      </c>
    </row>
    <row r="406" spans="1:8" ht="14">
      <c r="A406" s="54" t="s">
        <v>292</v>
      </c>
      <c r="B406" s="55" t="s">
        <v>204</v>
      </c>
      <c r="C406" s="55" t="s">
        <v>287</v>
      </c>
      <c r="D406" s="55">
        <v>0</v>
      </c>
      <c r="E406" s="55" t="s">
        <v>399</v>
      </c>
      <c r="F406" s="55" t="s">
        <v>207</v>
      </c>
      <c r="G406" s="55" t="s">
        <v>274</v>
      </c>
      <c r="H406" s="56">
        <v>1.96</v>
      </c>
    </row>
    <row r="407" spans="1:8" ht="14">
      <c r="A407" s="54" t="s">
        <v>292</v>
      </c>
      <c r="B407" s="55" t="s">
        <v>204</v>
      </c>
      <c r="C407" s="55" t="s">
        <v>287</v>
      </c>
      <c r="D407" s="55">
        <v>0</v>
      </c>
      <c r="E407" s="55" t="s">
        <v>399</v>
      </c>
      <c r="F407" s="55" t="s">
        <v>207</v>
      </c>
      <c r="G407" s="55" t="s">
        <v>219</v>
      </c>
      <c r="H407" s="56">
        <v>1.96</v>
      </c>
    </row>
    <row r="408" spans="1:8" ht="14">
      <c r="A408" s="54" t="s">
        <v>292</v>
      </c>
      <c r="B408" s="55" t="s">
        <v>204</v>
      </c>
      <c r="C408" s="55" t="s">
        <v>287</v>
      </c>
      <c r="D408" s="55">
        <v>0</v>
      </c>
      <c r="E408" s="55" t="s">
        <v>399</v>
      </c>
      <c r="F408" s="55" t="s">
        <v>400</v>
      </c>
      <c r="G408" s="55" t="s">
        <v>401</v>
      </c>
      <c r="H408" s="56">
        <v>7.22</v>
      </c>
    </row>
    <row r="409" spans="1:8" ht="14">
      <c r="A409" s="54" t="s">
        <v>292</v>
      </c>
      <c r="B409" s="55" t="s">
        <v>204</v>
      </c>
      <c r="C409" s="55" t="s">
        <v>287</v>
      </c>
      <c r="D409" s="55">
        <v>0</v>
      </c>
      <c r="E409" s="55" t="s">
        <v>399</v>
      </c>
      <c r="F409" s="55" t="s">
        <v>209</v>
      </c>
      <c r="G409" s="55" t="s">
        <v>362</v>
      </c>
      <c r="H409" s="56">
        <v>19.23</v>
      </c>
    </row>
    <row r="410" spans="1:8" ht="14">
      <c r="A410" s="54" t="s">
        <v>292</v>
      </c>
      <c r="B410" s="55" t="s">
        <v>204</v>
      </c>
      <c r="C410" s="55" t="s">
        <v>287</v>
      </c>
      <c r="D410" s="55">
        <v>0</v>
      </c>
      <c r="E410" s="55" t="s">
        <v>399</v>
      </c>
      <c r="F410" s="55" t="s">
        <v>209</v>
      </c>
      <c r="G410" s="55" t="s">
        <v>402</v>
      </c>
      <c r="H410" s="56">
        <v>5.39</v>
      </c>
    </row>
    <row r="411" spans="1:8" ht="14">
      <c r="A411" s="54" t="s">
        <v>292</v>
      </c>
      <c r="B411" s="55" t="s">
        <v>204</v>
      </c>
      <c r="C411" s="55" t="s">
        <v>287</v>
      </c>
      <c r="D411" s="55">
        <v>0</v>
      </c>
      <c r="E411" s="55" t="s">
        <v>399</v>
      </c>
      <c r="F411" s="55" t="s">
        <v>209</v>
      </c>
      <c r="G411" s="55" t="s">
        <v>217</v>
      </c>
      <c r="H411" s="56">
        <v>5.85</v>
      </c>
    </row>
    <row r="412" spans="1:8" ht="14">
      <c r="A412" s="54" t="s">
        <v>292</v>
      </c>
      <c r="B412" s="55" t="s">
        <v>204</v>
      </c>
      <c r="C412" s="55" t="s">
        <v>287</v>
      </c>
      <c r="D412" s="55">
        <v>0</v>
      </c>
      <c r="E412" s="55" t="s">
        <v>399</v>
      </c>
      <c r="F412" s="55" t="s">
        <v>209</v>
      </c>
      <c r="G412" s="55" t="s">
        <v>226</v>
      </c>
      <c r="H412" s="56">
        <v>6.16</v>
      </c>
    </row>
    <row r="413" spans="1:8" ht="14">
      <c r="A413" s="54" t="s">
        <v>292</v>
      </c>
      <c r="B413" s="55" t="s">
        <v>204</v>
      </c>
      <c r="C413" s="55" t="s">
        <v>287</v>
      </c>
      <c r="D413" s="55">
        <v>0</v>
      </c>
      <c r="E413" s="55" t="s">
        <v>399</v>
      </c>
      <c r="F413" s="55" t="s">
        <v>297</v>
      </c>
      <c r="G413" s="55" t="s">
        <v>208</v>
      </c>
      <c r="H413" s="56">
        <v>7.78</v>
      </c>
    </row>
    <row r="414" spans="1:8" ht="14">
      <c r="A414" s="54" t="s">
        <v>292</v>
      </c>
      <c r="B414" s="55" t="s">
        <v>204</v>
      </c>
      <c r="C414" s="55" t="s">
        <v>287</v>
      </c>
      <c r="D414" s="55">
        <v>0</v>
      </c>
      <c r="E414" s="55" t="s">
        <v>403</v>
      </c>
      <c r="F414" s="55" t="s">
        <v>207</v>
      </c>
      <c r="G414" s="55" t="s">
        <v>261</v>
      </c>
      <c r="H414" s="56">
        <v>2.81</v>
      </c>
    </row>
    <row r="415" spans="1:8" ht="14">
      <c r="A415" s="54" t="s">
        <v>292</v>
      </c>
      <c r="B415" s="55" t="s">
        <v>204</v>
      </c>
      <c r="C415" s="55" t="s">
        <v>287</v>
      </c>
      <c r="D415" s="55">
        <v>0</v>
      </c>
      <c r="E415" s="55" t="s">
        <v>403</v>
      </c>
      <c r="F415" s="55" t="s">
        <v>343</v>
      </c>
      <c r="G415" s="55" t="s">
        <v>404</v>
      </c>
      <c r="H415" s="56">
        <v>12.23</v>
      </c>
    </row>
    <row r="416" spans="1:8" ht="14">
      <c r="A416" s="54" t="s">
        <v>292</v>
      </c>
      <c r="B416" s="55" t="s">
        <v>204</v>
      </c>
      <c r="C416" s="55" t="s">
        <v>287</v>
      </c>
      <c r="D416" s="55">
        <v>0</v>
      </c>
      <c r="E416" s="55" t="s">
        <v>403</v>
      </c>
      <c r="F416" s="55" t="s">
        <v>209</v>
      </c>
      <c r="G416" s="55" t="s">
        <v>368</v>
      </c>
      <c r="H416" s="56">
        <v>17.559999999999999</v>
      </c>
    </row>
    <row r="417" spans="1:8" ht="14">
      <c r="A417" s="54" t="s">
        <v>292</v>
      </c>
      <c r="B417" s="55" t="s">
        <v>204</v>
      </c>
      <c r="C417" s="55" t="s">
        <v>287</v>
      </c>
      <c r="D417" s="55">
        <v>0</v>
      </c>
      <c r="E417" s="55" t="s">
        <v>403</v>
      </c>
      <c r="F417" s="55" t="s">
        <v>209</v>
      </c>
      <c r="G417" s="55" t="s">
        <v>262</v>
      </c>
      <c r="H417" s="56">
        <v>6.75</v>
      </c>
    </row>
    <row r="418" spans="1:8" ht="14">
      <c r="A418" s="54" t="s">
        <v>292</v>
      </c>
      <c r="B418" s="55" t="s">
        <v>204</v>
      </c>
      <c r="C418" s="55" t="s">
        <v>287</v>
      </c>
      <c r="D418" s="55">
        <v>0</v>
      </c>
      <c r="E418" s="55" t="s">
        <v>403</v>
      </c>
      <c r="F418" s="55" t="s">
        <v>209</v>
      </c>
      <c r="G418" s="55" t="s">
        <v>239</v>
      </c>
      <c r="H418" s="56">
        <v>7.34</v>
      </c>
    </row>
    <row r="419" spans="1:8" ht="14">
      <c r="A419" s="54" t="s">
        <v>292</v>
      </c>
      <c r="B419" s="55" t="s">
        <v>204</v>
      </c>
      <c r="C419" s="55" t="s">
        <v>287</v>
      </c>
      <c r="D419" s="55">
        <v>0</v>
      </c>
      <c r="E419" s="55" t="s">
        <v>403</v>
      </c>
      <c r="F419" s="55" t="s">
        <v>209</v>
      </c>
      <c r="G419" s="55" t="s">
        <v>240</v>
      </c>
      <c r="H419" s="56">
        <v>7.06</v>
      </c>
    </row>
    <row r="420" spans="1:8" ht="14">
      <c r="A420" s="54" t="s">
        <v>292</v>
      </c>
      <c r="B420" s="55" t="s">
        <v>204</v>
      </c>
      <c r="C420" s="55" t="s">
        <v>287</v>
      </c>
      <c r="D420" s="55">
        <v>0</v>
      </c>
      <c r="E420" s="55" t="s">
        <v>403</v>
      </c>
      <c r="F420" s="55" t="s">
        <v>209</v>
      </c>
      <c r="G420" s="55" t="s">
        <v>336</v>
      </c>
      <c r="H420" s="56">
        <v>7.63</v>
      </c>
    </row>
    <row r="421" spans="1:8" ht="14">
      <c r="A421" s="54" t="s">
        <v>292</v>
      </c>
      <c r="B421" s="55" t="s">
        <v>204</v>
      </c>
      <c r="C421" s="55" t="s">
        <v>287</v>
      </c>
      <c r="D421" s="55">
        <v>0</v>
      </c>
      <c r="E421" s="55" t="s">
        <v>405</v>
      </c>
      <c r="F421" s="55" t="s">
        <v>207</v>
      </c>
      <c r="G421" s="55" t="s">
        <v>261</v>
      </c>
      <c r="H421" s="56">
        <v>2.25</v>
      </c>
    </row>
    <row r="422" spans="1:8" ht="14">
      <c r="A422" s="54" t="s">
        <v>292</v>
      </c>
      <c r="B422" s="55" t="s">
        <v>204</v>
      </c>
      <c r="C422" s="55" t="s">
        <v>287</v>
      </c>
      <c r="D422" s="55">
        <v>0</v>
      </c>
      <c r="E422" s="55" t="s">
        <v>405</v>
      </c>
      <c r="F422" s="55" t="s">
        <v>343</v>
      </c>
      <c r="G422" s="55" t="s">
        <v>404</v>
      </c>
      <c r="H422" s="56">
        <v>12.35</v>
      </c>
    </row>
    <row r="423" spans="1:8" ht="14">
      <c r="A423" s="54" t="s">
        <v>292</v>
      </c>
      <c r="B423" s="55" t="s">
        <v>204</v>
      </c>
      <c r="C423" s="55" t="s">
        <v>287</v>
      </c>
      <c r="D423" s="55">
        <v>0</v>
      </c>
      <c r="E423" s="55" t="s">
        <v>405</v>
      </c>
      <c r="F423" s="55" t="s">
        <v>209</v>
      </c>
      <c r="G423" s="55" t="s">
        <v>402</v>
      </c>
      <c r="H423" s="56">
        <v>5.0599999999999996</v>
      </c>
    </row>
    <row r="424" spans="1:8" ht="14">
      <c r="A424" s="54" t="s">
        <v>292</v>
      </c>
      <c r="B424" s="55" t="s">
        <v>204</v>
      </c>
      <c r="C424" s="55" t="s">
        <v>287</v>
      </c>
      <c r="D424" s="55">
        <v>0</v>
      </c>
      <c r="E424" s="55" t="s">
        <v>405</v>
      </c>
      <c r="F424" s="55" t="s">
        <v>209</v>
      </c>
      <c r="G424" s="55" t="s">
        <v>262</v>
      </c>
      <c r="H424" s="56">
        <v>4.7699999999999996</v>
      </c>
    </row>
    <row r="425" spans="1:8" ht="14">
      <c r="A425" s="54" t="s">
        <v>292</v>
      </c>
      <c r="B425" s="55" t="s">
        <v>204</v>
      </c>
      <c r="C425" s="55" t="s">
        <v>287</v>
      </c>
      <c r="D425" s="55">
        <v>0</v>
      </c>
      <c r="E425" s="55" t="s">
        <v>405</v>
      </c>
      <c r="F425" s="55" t="s">
        <v>209</v>
      </c>
      <c r="G425" s="55" t="s">
        <v>263</v>
      </c>
      <c r="H425" s="56">
        <v>4.91</v>
      </c>
    </row>
    <row r="426" spans="1:8" ht="14">
      <c r="A426" s="54" t="s">
        <v>292</v>
      </c>
      <c r="B426" s="55" t="s">
        <v>204</v>
      </c>
      <c r="C426" s="55" t="s">
        <v>287</v>
      </c>
      <c r="D426" s="55">
        <v>0</v>
      </c>
      <c r="E426" s="55" t="s">
        <v>405</v>
      </c>
      <c r="F426" s="55" t="s">
        <v>209</v>
      </c>
      <c r="G426" s="55" t="s">
        <v>336</v>
      </c>
      <c r="H426" s="56">
        <v>5.62</v>
      </c>
    </row>
    <row r="427" spans="1:8" ht="14">
      <c r="A427" s="54" t="s">
        <v>292</v>
      </c>
      <c r="B427" s="55" t="s">
        <v>204</v>
      </c>
      <c r="C427" s="55" t="s">
        <v>287</v>
      </c>
      <c r="D427" s="55">
        <v>0</v>
      </c>
      <c r="E427" s="55" t="s">
        <v>406</v>
      </c>
      <c r="F427" s="55" t="s">
        <v>207</v>
      </c>
      <c r="G427" s="55" t="s">
        <v>274</v>
      </c>
      <c r="H427" s="56">
        <v>2.11</v>
      </c>
    </row>
    <row r="428" spans="1:8" ht="14">
      <c r="A428" s="54" t="s">
        <v>292</v>
      </c>
      <c r="B428" s="55" t="s">
        <v>204</v>
      </c>
      <c r="C428" s="55" t="s">
        <v>287</v>
      </c>
      <c r="D428" s="55">
        <v>0</v>
      </c>
      <c r="E428" s="55" t="s">
        <v>406</v>
      </c>
      <c r="F428" s="55" t="s">
        <v>207</v>
      </c>
      <c r="G428" s="55" t="s">
        <v>261</v>
      </c>
      <c r="H428" s="56">
        <v>2.11</v>
      </c>
    </row>
    <row r="429" spans="1:8" ht="14">
      <c r="A429" s="54" t="s">
        <v>292</v>
      </c>
      <c r="B429" s="55" t="s">
        <v>204</v>
      </c>
      <c r="C429" s="55" t="s">
        <v>287</v>
      </c>
      <c r="D429" s="55">
        <v>0</v>
      </c>
      <c r="E429" s="55" t="s">
        <v>406</v>
      </c>
      <c r="F429" s="55" t="s">
        <v>209</v>
      </c>
      <c r="G429" s="55" t="s">
        <v>402</v>
      </c>
      <c r="H429" s="56">
        <v>4.91</v>
      </c>
    </row>
    <row r="430" spans="1:8" ht="14">
      <c r="A430" s="54" t="s">
        <v>292</v>
      </c>
      <c r="B430" s="55" t="s">
        <v>204</v>
      </c>
      <c r="C430" s="55" t="s">
        <v>287</v>
      </c>
      <c r="D430" s="55">
        <v>0</v>
      </c>
      <c r="E430" s="55" t="s">
        <v>406</v>
      </c>
      <c r="F430" s="55" t="s">
        <v>209</v>
      </c>
      <c r="G430" s="55" t="s">
        <v>262</v>
      </c>
      <c r="H430" s="56">
        <v>4.49</v>
      </c>
    </row>
    <row r="431" spans="1:8" ht="14">
      <c r="A431" s="54" t="s">
        <v>292</v>
      </c>
      <c r="B431" s="55" t="s">
        <v>204</v>
      </c>
      <c r="C431" s="55" t="s">
        <v>287</v>
      </c>
      <c r="D431" s="55">
        <v>0</v>
      </c>
      <c r="E431" s="55" t="s">
        <v>406</v>
      </c>
      <c r="F431" s="55" t="s">
        <v>209</v>
      </c>
      <c r="G431" s="55" t="s">
        <v>263</v>
      </c>
      <c r="H431" s="56">
        <v>4.63</v>
      </c>
    </row>
    <row r="432" spans="1:8" ht="14">
      <c r="A432" s="54" t="s">
        <v>292</v>
      </c>
      <c r="B432" s="55" t="s">
        <v>204</v>
      </c>
      <c r="C432" s="55" t="s">
        <v>287</v>
      </c>
      <c r="D432" s="55">
        <v>0</v>
      </c>
      <c r="E432" s="55" t="s">
        <v>406</v>
      </c>
      <c r="F432" s="55" t="s">
        <v>297</v>
      </c>
      <c r="G432" s="55" t="s">
        <v>349</v>
      </c>
      <c r="H432" s="56">
        <v>7.5</v>
      </c>
    </row>
    <row r="433" spans="1:8" ht="14">
      <c r="A433" s="54" t="s">
        <v>292</v>
      </c>
      <c r="B433" s="55" t="s">
        <v>204</v>
      </c>
      <c r="C433" s="55" t="s">
        <v>287</v>
      </c>
      <c r="D433" s="55">
        <v>0</v>
      </c>
      <c r="E433" s="55" t="s">
        <v>407</v>
      </c>
      <c r="F433" s="55" t="s">
        <v>207</v>
      </c>
      <c r="G433" s="55" t="s">
        <v>274</v>
      </c>
      <c r="H433" s="56">
        <v>2.12</v>
      </c>
    </row>
    <row r="434" spans="1:8" ht="14">
      <c r="A434" s="54" t="s">
        <v>292</v>
      </c>
      <c r="B434" s="55" t="s">
        <v>204</v>
      </c>
      <c r="C434" s="55" t="s">
        <v>287</v>
      </c>
      <c r="D434" s="55">
        <v>0</v>
      </c>
      <c r="E434" s="55" t="s">
        <v>407</v>
      </c>
      <c r="F434" s="55" t="s">
        <v>207</v>
      </c>
      <c r="G434" s="55" t="s">
        <v>261</v>
      </c>
      <c r="H434" s="56">
        <v>2.12</v>
      </c>
    </row>
    <row r="435" spans="1:8" ht="14">
      <c r="A435" s="54" t="s">
        <v>292</v>
      </c>
      <c r="B435" s="55" t="s">
        <v>204</v>
      </c>
      <c r="C435" s="55" t="s">
        <v>287</v>
      </c>
      <c r="D435" s="55">
        <v>0</v>
      </c>
      <c r="E435" s="55" t="s">
        <v>407</v>
      </c>
      <c r="F435" s="55" t="s">
        <v>209</v>
      </c>
      <c r="G435" s="55" t="s">
        <v>368</v>
      </c>
      <c r="H435" s="56">
        <v>17.96</v>
      </c>
    </row>
    <row r="436" spans="1:8" ht="14">
      <c r="A436" s="54" t="s">
        <v>292</v>
      </c>
      <c r="B436" s="55" t="s">
        <v>204</v>
      </c>
      <c r="C436" s="55" t="s">
        <v>287</v>
      </c>
      <c r="D436" s="55">
        <v>0</v>
      </c>
      <c r="E436" s="55" t="s">
        <v>407</v>
      </c>
      <c r="F436" s="55" t="s">
        <v>209</v>
      </c>
      <c r="G436" s="55" t="s">
        <v>402</v>
      </c>
      <c r="H436" s="56">
        <v>4.9000000000000004</v>
      </c>
    </row>
    <row r="437" spans="1:8" ht="14">
      <c r="A437" s="54" t="s">
        <v>292</v>
      </c>
      <c r="B437" s="55" t="s">
        <v>204</v>
      </c>
      <c r="C437" s="55" t="s">
        <v>287</v>
      </c>
      <c r="D437" s="55">
        <v>0</v>
      </c>
      <c r="E437" s="55" t="s">
        <v>407</v>
      </c>
      <c r="F437" s="55" t="s">
        <v>209</v>
      </c>
      <c r="G437" s="55" t="s">
        <v>262</v>
      </c>
      <c r="H437" s="56">
        <v>4.49</v>
      </c>
    </row>
    <row r="438" spans="1:8" ht="14">
      <c r="A438" s="54" t="s">
        <v>292</v>
      </c>
      <c r="B438" s="55" t="s">
        <v>204</v>
      </c>
      <c r="C438" s="55" t="s">
        <v>287</v>
      </c>
      <c r="D438" s="55">
        <v>0</v>
      </c>
      <c r="E438" s="55" t="s">
        <v>407</v>
      </c>
      <c r="F438" s="55" t="s">
        <v>209</v>
      </c>
      <c r="G438" s="55" t="s">
        <v>263</v>
      </c>
      <c r="H438" s="56">
        <v>4.63</v>
      </c>
    </row>
    <row r="439" spans="1:8" ht="14">
      <c r="A439" s="54" t="s">
        <v>292</v>
      </c>
      <c r="B439" s="55" t="s">
        <v>204</v>
      </c>
      <c r="C439" s="55" t="s">
        <v>287</v>
      </c>
      <c r="D439" s="55">
        <v>0</v>
      </c>
      <c r="E439" s="55" t="s">
        <v>407</v>
      </c>
      <c r="F439" s="55" t="s">
        <v>209</v>
      </c>
      <c r="G439" s="55" t="s">
        <v>336</v>
      </c>
      <c r="H439" s="56">
        <v>5.62</v>
      </c>
    </row>
    <row r="440" spans="1:8" ht="14">
      <c r="A440" s="54" t="s">
        <v>292</v>
      </c>
      <c r="B440" s="55" t="s">
        <v>204</v>
      </c>
      <c r="C440" s="55" t="s">
        <v>287</v>
      </c>
      <c r="D440" s="55">
        <v>0</v>
      </c>
      <c r="E440" s="55" t="s">
        <v>407</v>
      </c>
      <c r="F440" s="55" t="s">
        <v>297</v>
      </c>
      <c r="G440" s="55" t="s">
        <v>349</v>
      </c>
      <c r="H440" s="56">
        <v>4.53</v>
      </c>
    </row>
    <row r="441" spans="1:8" ht="14">
      <c r="A441" s="54" t="s">
        <v>292</v>
      </c>
      <c r="B441" s="55" t="s">
        <v>204</v>
      </c>
      <c r="C441" s="55" t="s">
        <v>287</v>
      </c>
      <c r="D441" s="55">
        <v>0</v>
      </c>
      <c r="E441" s="55" t="s">
        <v>408</v>
      </c>
      <c r="F441" s="55" t="s">
        <v>207</v>
      </c>
      <c r="G441" s="55" t="s">
        <v>219</v>
      </c>
      <c r="H441" s="56">
        <v>2.81</v>
      </c>
    </row>
    <row r="442" spans="1:8" ht="14">
      <c r="A442" s="54" t="s">
        <v>292</v>
      </c>
      <c r="B442" s="55" t="s">
        <v>204</v>
      </c>
      <c r="C442" s="55" t="s">
        <v>287</v>
      </c>
      <c r="D442" s="55">
        <v>0</v>
      </c>
      <c r="E442" s="55" t="s">
        <v>408</v>
      </c>
      <c r="F442" s="55" t="s">
        <v>209</v>
      </c>
      <c r="G442" s="55" t="s">
        <v>362</v>
      </c>
      <c r="H442" s="56">
        <v>15.7</v>
      </c>
    </row>
    <row r="443" spans="1:8" ht="14">
      <c r="A443" s="54" t="s">
        <v>292</v>
      </c>
      <c r="B443" s="55" t="s">
        <v>204</v>
      </c>
      <c r="C443" s="55" t="s">
        <v>287</v>
      </c>
      <c r="D443" s="55">
        <v>0</v>
      </c>
      <c r="E443" s="55" t="s">
        <v>408</v>
      </c>
      <c r="F443" s="55" t="s">
        <v>209</v>
      </c>
      <c r="G443" s="55" t="s">
        <v>229</v>
      </c>
      <c r="H443" s="56">
        <v>6.33</v>
      </c>
    </row>
    <row r="444" spans="1:8" ht="14">
      <c r="A444" s="54" t="s">
        <v>292</v>
      </c>
      <c r="B444" s="55" t="s">
        <v>204</v>
      </c>
      <c r="C444" s="55" t="s">
        <v>287</v>
      </c>
      <c r="D444" s="55">
        <v>0</v>
      </c>
      <c r="E444" s="55" t="s">
        <v>408</v>
      </c>
      <c r="F444" s="55" t="s">
        <v>209</v>
      </c>
      <c r="G444" s="55" t="s">
        <v>217</v>
      </c>
      <c r="H444" s="56">
        <v>5.9</v>
      </c>
    </row>
    <row r="445" spans="1:8" ht="14">
      <c r="A445" s="54" t="s">
        <v>292</v>
      </c>
      <c r="B445" s="55" t="s">
        <v>204</v>
      </c>
      <c r="C445" s="55" t="s">
        <v>287</v>
      </c>
      <c r="D445" s="55">
        <v>0</v>
      </c>
      <c r="E445" s="55" t="s">
        <v>408</v>
      </c>
      <c r="F445" s="55" t="s">
        <v>209</v>
      </c>
      <c r="G445" s="55" t="s">
        <v>226</v>
      </c>
      <c r="H445" s="56">
        <v>6.04</v>
      </c>
    </row>
    <row r="446" spans="1:8" ht="14">
      <c r="A446" s="54" t="s">
        <v>292</v>
      </c>
      <c r="B446" s="55" t="s">
        <v>204</v>
      </c>
      <c r="C446" s="55" t="s">
        <v>287</v>
      </c>
      <c r="D446" s="55">
        <v>0</v>
      </c>
      <c r="E446" s="55" t="s">
        <v>408</v>
      </c>
      <c r="F446" s="55" t="s">
        <v>297</v>
      </c>
      <c r="G446" s="55" t="s">
        <v>299</v>
      </c>
      <c r="H446" s="56">
        <v>9.48</v>
      </c>
    </row>
    <row r="447" spans="1:8" ht="14">
      <c r="A447" s="54" t="s">
        <v>292</v>
      </c>
      <c r="B447" s="55" t="s">
        <v>204</v>
      </c>
      <c r="C447" s="55" t="s">
        <v>287</v>
      </c>
      <c r="D447" s="55">
        <v>0</v>
      </c>
      <c r="E447" s="55" t="s">
        <v>409</v>
      </c>
      <c r="F447" s="55" t="s">
        <v>207</v>
      </c>
      <c r="G447" s="55" t="s">
        <v>261</v>
      </c>
      <c r="H447" s="56">
        <v>2.81</v>
      </c>
    </row>
    <row r="448" spans="1:8" ht="14">
      <c r="A448" s="54" t="s">
        <v>292</v>
      </c>
      <c r="B448" s="55" t="s">
        <v>204</v>
      </c>
      <c r="C448" s="55" t="s">
        <v>287</v>
      </c>
      <c r="D448" s="55">
        <v>0</v>
      </c>
      <c r="E448" s="55" t="s">
        <v>409</v>
      </c>
      <c r="F448" s="55" t="s">
        <v>343</v>
      </c>
      <c r="G448" s="55" t="s">
        <v>404</v>
      </c>
      <c r="H448" s="56">
        <v>12.66</v>
      </c>
    </row>
    <row r="449" spans="1:8" ht="14">
      <c r="A449" s="54" t="s">
        <v>292</v>
      </c>
      <c r="B449" s="55" t="s">
        <v>204</v>
      </c>
      <c r="C449" s="55" t="s">
        <v>287</v>
      </c>
      <c r="D449" s="55">
        <v>0</v>
      </c>
      <c r="E449" s="55" t="s">
        <v>409</v>
      </c>
      <c r="F449" s="55" t="s">
        <v>209</v>
      </c>
      <c r="G449" s="55" t="s">
        <v>368</v>
      </c>
      <c r="H449" s="56">
        <v>18.649999999999999</v>
      </c>
    </row>
    <row r="450" spans="1:8" ht="14">
      <c r="A450" s="54" t="s">
        <v>292</v>
      </c>
      <c r="B450" s="55" t="s">
        <v>204</v>
      </c>
      <c r="C450" s="55" t="s">
        <v>287</v>
      </c>
      <c r="D450" s="55">
        <v>0</v>
      </c>
      <c r="E450" s="55" t="s">
        <v>409</v>
      </c>
      <c r="F450" s="55" t="s">
        <v>209</v>
      </c>
      <c r="G450" s="55" t="s">
        <v>262</v>
      </c>
      <c r="H450" s="56">
        <v>5.54</v>
      </c>
    </row>
    <row r="451" spans="1:8" ht="14">
      <c r="A451" s="54" t="s">
        <v>292</v>
      </c>
      <c r="B451" s="55" t="s">
        <v>204</v>
      </c>
      <c r="C451" s="55" t="s">
        <v>287</v>
      </c>
      <c r="D451" s="55">
        <v>0</v>
      </c>
      <c r="E451" s="55" t="s">
        <v>409</v>
      </c>
      <c r="F451" s="55" t="s">
        <v>209</v>
      </c>
      <c r="G451" s="55" t="s">
        <v>226</v>
      </c>
      <c r="H451" s="56">
        <v>5.68</v>
      </c>
    </row>
    <row r="452" spans="1:8" ht="14">
      <c r="A452" s="54" t="s">
        <v>292</v>
      </c>
      <c r="B452" s="55" t="s">
        <v>204</v>
      </c>
      <c r="C452" s="55" t="s">
        <v>287</v>
      </c>
      <c r="D452" s="55">
        <v>0</v>
      </c>
      <c r="E452" s="55" t="s">
        <v>409</v>
      </c>
      <c r="F452" s="55" t="s">
        <v>297</v>
      </c>
      <c r="G452" s="55" t="s">
        <v>369</v>
      </c>
      <c r="H452" s="56">
        <v>8.83</v>
      </c>
    </row>
    <row r="453" spans="1:8" ht="14">
      <c r="A453" s="54" t="s">
        <v>292</v>
      </c>
      <c r="B453" s="55" t="s">
        <v>204</v>
      </c>
      <c r="C453" s="55" t="s">
        <v>287</v>
      </c>
      <c r="D453" s="55">
        <v>0</v>
      </c>
      <c r="E453" s="55" t="s">
        <v>410</v>
      </c>
      <c r="F453" s="55" t="s">
        <v>207</v>
      </c>
      <c r="G453" s="55" t="s">
        <v>219</v>
      </c>
      <c r="H453" s="56">
        <v>3.1</v>
      </c>
    </row>
    <row r="454" spans="1:8" ht="14">
      <c r="A454" s="54" t="s">
        <v>292</v>
      </c>
      <c r="B454" s="55" t="s">
        <v>204</v>
      </c>
      <c r="C454" s="55" t="s">
        <v>287</v>
      </c>
      <c r="D454" s="55">
        <v>0</v>
      </c>
      <c r="E454" s="55" t="s">
        <v>410</v>
      </c>
      <c r="F454" s="55" t="s">
        <v>209</v>
      </c>
      <c r="G454" s="55" t="s">
        <v>362</v>
      </c>
      <c r="H454" s="56">
        <v>18.52</v>
      </c>
    </row>
    <row r="455" spans="1:8" ht="14">
      <c r="A455" s="54" t="s">
        <v>292</v>
      </c>
      <c r="B455" s="55" t="s">
        <v>204</v>
      </c>
      <c r="C455" s="55" t="s">
        <v>287</v>
      </c>
      <c r="D455" s="55">
        <v>0</v>
      </c>
      <c r="E455" s="55" t="s">
        <v>410</v>
      </c>
      <c r="F455" s="55" t="s">
        <v>209</v>
      </c>
      <c r="G455" s="55" t="s">
        <v>229</v>
      </c>
      <c r="H455" s="56">
        <v>6.92</v>
      </c>
    </row>
    <row r="456" spans="1:8" ht="14">
      <c r="A456" s="54" t="s">
        <v>292</v>
      </c>
      <c r="B456" s="55" t="s">
        <v>204</v>
      </c>
      <c r="C456" s="55" t="s">
        <v>287</v>
      </c>
      <c r="D456" s="55">
        <v>0</v>
      </c>
      <c r="E456" s="55" t="s">
        <v>410</v>
      </c>
      <c r="F456" s="55" t="s">
        <v>209</v>
      </c>
      <c r="G456" s="55" t="s">
        <v>217</v>
      </c>
      <c r="H456" s="56">
        <v>6.27</v>
      </c>
    </row>
    <row r="457" spans="1:8" ht="14">
      <c r="A457" s="54" t="s">
        <v>292</v>
      </c>
      <c r="B457" s="55" t="s">
        <v>204</v>
      </c>
      <c r="C457" s="55" t="s">
        <v>287</v>
      </c>
      <c r="D457" s="55">
        <v>0</v>
      </c>
      <c r="E457" s="55" t="s">
        <v>410</v>
      </c>
      <c r="F457" s="55" t="s">
        <v>209</v>
      </c>
      <c r="G457" s="55" t="s">
        <v>220</v>
      </c>
      <c r="H457" s="56">
        <v>7.01</v>
      </c>
    </row>
    <row r="458" spans="1:8" ht="14">
      <c r="A458" s="54" t="s">
        <v>292</v>
      </c>
      <c r="B458" s="55" t="s">
        <v>204</v>
      </c>
      <c r="C458" s="55" t="s">
        <v>287</v>
      </c>
      <c r="D458" s="55">
        <v>0</v>
      </c>
      <c r="E458" s="55" t="s">
        <v>410</v>
      </c>
      <c r="F458" s="55" t="s">
        <v>209</v>
      </c>
      <c r="G458" s="55" t="s">
        <v>226</v>
      </c>
      <c r="H458" s="56">
        <v>6.43</v>
      </c>
    </row>
    <row r="459" spans="1:8" ht="14">
      <c r="A459" s="54" t="s">
        <v>292</v>
      </c>
      <c r="B459" s="55" t="s">
        <v>204</v>
      </c>
      <c r="C459" s="55" t="s">
        <v>287</v>
      </c>
      <c r="D459" s="55">
        <v>0</v>
      </c>
      <c r="E459" s="55" t="s">
        <v>410</v>
      </c>
      <c r="F459" s="55" t="s">
        <v>297</v>
      </c>
      <c r="G459" s="55" t="s">
        <v>299</v>
      </c>
      <c r="H459" s="56">
        <v>9.48</v>
      </c>
    </row>
    <row r="460" spans="1:8" ht="14">
      <c r="A460" s="54" t="s">
        <v>292</v>
      </c>
      <c r="B460" s="55" t="s">
        <v>204</v>
      </c>
      <c r="C460" s="55" t="s">
        <v>287</v>
      </c>
      <c r="D460" s="55">
        <v>0</v>
      </c>
      <c r="E460" s="55" t="s">
        <v>411</v>
      </c>
      <c r="F460" s="55" t="s">
        <v>207</v>
      </c>
      <c r="G460" s="55" t="s">
        <v>261</v>
      </c>
      <c r="H460" s="56">
        <v>2.39</v>
      </c>
    </row>
    <row r="461" spans="1:8" ht="14">
      <c r="A461" s="54" t="s">
        <v>292</v>
      </c>
      <c r="B461" s="55" t="s">
        <v>204</v>
      </c>
      <c r="C461" s="55" t="s">
        <v>287</v>
      </c>
      <c r="D461" s="55">
        <v>0</v>
      </c>
      <c r="E461" s="55" t="s">
        <v>411</v>
      </c>
      <c r="F461" s="55" t="s">
        <v>306</v>
      </c>
      <c r="G461" s="55" t="s">
        <v>307</v>
      </c>
      <c r="H461" s="56">
        <v>16.260000000000002</v>
      </c>
    </row>
    <row r="462" spans="1:8" ht="14">
      <c r="A462" s="54" t="s">
        <v>292</v>
      </c>
      <c r="B462" s="55" t="s">
        <v>204</v>
      </c>
      <c r="C462" s="55" t="s">
        <v>287</v>
      </c>
      <c r="D462" s="55">
        <v>0</v>
      </c>
      <c r="E462" s="55" t="s">
        <v>411</v>
      </c>
      <c r="F462" s="55" t="s">
        <v>209</v>
      </c>
      <c r="G462" s="55" t="s">
        <v>368</v>
      </c>
      <c r="H462" s="56">
        <v>17.82</v>
      </c>
    </row>
    <row r="463" spans="1:8" ht="14">
      <c r="A463" s="54" t="s">
        <v>292</v>
      </c>
      <c r="B463" s="55" t="s">
        <v>204</v>
      </c>
      <c r="C463" s="55" t="s">
        <v>287</v>
      </c>
      <c r="D463" s="55">
        <v>0</v>
      </c>
      <c r="E463" s="55" t="s">
        <v>411</v>
      </c>
      <c r="F463" s="55" t="s">
        <v>209</v>
      </c>
      <c r="G463" s="55" t="s">
        <v>402</v>
      </c>
      <c r="H463" s="56">
        <v>5.48</v>
      </c>
    </row>
    <row r="464" spans="1:8" ht="14">
      <c r="A464" s="54" t="s">
        <v>292</v>
      </c>
      <c r="B464" s="55" t="s">
        <v>204</v>
      </c>
      <c r="C464" s="55" t="s">
        <v>287</v>
      </c>
      <c r="D464" s="55">
        <v>0</v>
      </c>
      <c r="E464" s="55" t="s">
        <v>411</v>
      </c>
      <c r="F464" s="55" t="s">
        <v>209</v>
      </c>
      <c r="G464" s="55" t="s">
        <v>262</v>
      </c>
      <c r="H464" s="56">
        <v>5.35</v>
      </c>
    </row>
    <row r="465" spans="1:8" ht="14">
      <c r="A465" s="54" t="s">
        <v>292</v>
      </c>
      <c r="B465" s="55" t="s">
        <v>204</v>
      </c>
      <c r="C465" s="55" t="s">
        <v>287</v>
      </c>
      <c r="D465" s="55">
        <v>0</v>
      </c>
      <c r="E465" s="55" t="s">
        <v>411</v>
      </c>
      <c r="F465" s="55" t="s">
        <v>209</v>
      </c>
      <c r="G465" s="55" t="s">
        <v>226</v>
      </c>
      <c r="H465" s="56">
        <v>5.63</v>
      </c>
    </row>
    <row r="466" spans="1:8" ht="14">
      <c r="A466" s="54" t="s">
        <v>292</v>
      </c>
      <c r="B466" s="55" t="s">
        <v>204</v>
      </c>
      <c r="C466" s="55" t="s">
        <v>287</v>
      </c>
      <c r="D466" s="55">
        <v>0</v>
      </c>
      <c r="E466" s="55" t="s">
        <v>411</v>
      </c>
      <c r="F466" s="55" t="s">
        <v>297</v>
      </c>
      <c r="G466" s="55" t="s">
        <v>349</v>
      </c>
      <c r="H466" s="56">
        <v>6.37</v>
      </c>
    </row>
    <row r="467" spans="1:8" ht="14">
      <c r="A467" s="54" t="s">
        <v>292</v>
      </c>
      <c r="B467" s="55" t="s">
        <v>204</v>
      </c>
      <c r="C467" s="55" t="s">
        <v>287</v>
      </c>
      <c r="D467" s="55">
        <v>0</v>
      </c>
      <c r="E467" s="55" t="s">
        <v>412</v>
      </c>
      <c r="F467" s="55" t="s">
        <v>207</v>
      </c>
      <c r="G467" s="55" t="s">
        <v>261</v>
      </c>
      <c r="H467" s="56">
        <v>2.83</v>
      </c>
    </row>
    <row r="468" spans="1:8" ht="14">
      <c r="A468" s="54" t="s">
        <v>292</v>
      </c>
      <c r="B468" s="55" t="s">
        <v>204</v>
      </c>
      <c r="C468" s="55" t="s">
        <v>287</v>
      </c>
      <c r="D468" s="55">
        <v>0</v>
      </c>
      <c r="E468" s="55" t="s">
        <v>412</v>
      </c>
      <c r="F468" s="55" t="s">
        <v>209</v>
      </c>
      <c r="G468" s="55" t="s">
        <v>362</v>
      </c>
      <c r="H468" s="56">
        <v>17.82</v>
      </c>
    </row>
    <row r="469" spans="1:8" ht="14">
      <c r="A469" s="54" t="s">
        <v>292</v>
      </c>
      <c r="B469" s="55" t="s">
        <v>204</v>
      </c>
      <c r="C469" s="55" t="s">
        <v>287</v>
      </c>
      <c r="D469" s="55">
        <v>0</v>
      </c>
      <c r="E469" s="55" t="s">
        <v>412</v>
      </c>
      <c r="F469" s="55" t="s">
        <v>209</v>
      </c>
      <c r="G469" s="55" t="s">
        <v>229</v>
      </c>
      <c r="H469" s="56">
        <v>6.04</v>
      </c>
    </row>
    <row r="470" spans="1:8" ht="14">
      <c r="A470" s="54" t="s">
        <v>292</v>
      </c>
      <c r="B470" s="55" t="s">
        <v>204</v>
      </c>
      <c r="C470" s="55" t="s">
        <v>287</v>
      </c>
      <c r="D470" s="55">
        <v>0</v>
      </c>
      <c r="E470" s="55" t="s">
        <v>412</v>
      </c>
      <c r="F470" s="55" t="s">
        <v>209</v>
      </c>
      <c r="G470" s="55" t="s">
        <v>217</v>
      </c>
      <c r="H470" s="56">
        <v>5.76</v>
      </c>
    </row>
    <row r="471" spans="1:8" ht="14">
      <c r="A471" s="54" t="s">
        <v>292</v>
      </c>
      <c r="B471" s="55" t="s">
        <v>204</v>
      </c>
      <c r="C471" s="55" t="s">
        <v>287</v>
      </c>
      <c r="D471" s="55">
        <v>0</v>
      </c>
      <c r="E471" s="55" t="s">
        <v>412</v>
      </c>
      <c r="F471" s="55" t="s">
        <v>209</v>
      </c>
      <c r="G471" s="55" t="s">
        <v>226</v>
      </c>
      <c r="H471" s="56">
        <v>5.9</v>
      </c>
    </row>
    <row r="472" spans="1:8" ht="14">
      <c r="A472" s="54" t="s">
        <v>292</v>
      </c>
      <c r="B472" s="55" t="s">
        <v>204</v>
      </c>
      <c r="C472" s="55" t="s">
        <v>287</v>
      </c>
      <c r="D472" s="55">
        <v>0</v>
      </c>
      <c r="E472" s="55" t="s">
        <v>412</v>
      </c>
      <c r="F472" s="55" t="s">
        <v>297</v>
      </c>
      <c r="G472" s="55" t="s">
        <v>298</v>
      </c>
      <c r="H472" s="56">
        <v>10.89</v>
      </c>
    </row>
    <row r="473" spans="1:8" ht="14">
      <c r="A473" s="54" t="s">
        <v>292</v>
      </c>
      <c r="B473" s="55" t="s">
        <v>204</v>
      </c>
      <c r="C473" s="55" t="s">
        <v>287</v>
      </c>
      <c r="D473" s="55">
        <v>0</v>
      </c>
      <c r="E473" s="55" t="s">
        <v>413</v>
      </c>
      <c r="F473" s="55" t="s">
        <v>207</v>
      </c>
      <c r="G473" s="55" t="s">
        <v>261</v>
      </c>
      <c r="H473" s="56">
        <v>2.81</v>
      </c>
    </row>
    <row r="474" spans="1:8" ht="14">
      <c r="A474" s="54" t="s">
        <v>292</v>
      </c>
      <c r="B474" s="55" t="s">
        <v>204</v>
      </c>
      <c r="C474" s="55" t="s">
        <v>287</v>
      </c>
      <c r="D474" s="55">
        <v>0</v>
      </c>
      <c r="E474" s="55" t="s">
        <v>413</v>
      </c>
      <c r="F474" s="55" t="s">
        <v>209</v>
      </c>
      <c r="G474" s="55" t="s">
        <v>368</v>
      </c>
      <c r="H474" s="56">
        <v>18.649999999999999</v>
      </c>
    </row>
    <row r="475" spans="1:8" ht="14">
      <c r="A475" s="54" t="s">
        <v>292</v>
      </c>
      <c r="B475" s="55" t="s">
        <v>204</v>
      </c>
      <c r="C475" s="55" t="s">
        <v>287</v>
      </c>
      <c r="D475" s="55">
        <v>0</v>
      </c>
      <c r="E475" s="55" t="s">
        <v>413</v>
      </c>
      <c r="F475" s="55" t="s">
        <v>209</v>
      </c>
      <c r="G475" s="55" t="s">
        <v>414</v>
      </c>
      <c r="H475" s="56">
        <v>5.68</v>
      </c>
    </row>
    <row r="476" spans="1:8" ht="14">
      <c r="A476" s="54" t="s">
        <v>292</v>
      </c>
      <c r="B476" s="55" t="s">
        <v>204</v>
      </c>
      <c r="C476" s="55" t="s">
        <v>287</v>
      </c>
      <c r="D476" s="55">
        <v>0</v>
      </c>
      <c r="E476" s="55" t="s">
        <v>413</v>
      </c>
      <c r="F476" s="55" t="s">
        <v>209</v>
      </c>
      <c r="G476" s="55" t="s">
        <v>262</v>
      </c>
      <c r="H476" s="56">
        <v>5.54</v>
      </c>
    </row>
    <row r="477" spans="1:8" ht="14">
      <c r="A477" s="54" t="s">
        <v>292</v>
      </c>
      <c r="B477" s="55" t="s">
        <v>204</v>
      </c>
      <c r="C477" s="55" t="s">
        <v>287</v>
      </c>
      <c r="D477" s="55">
        <v>0</v>
      </c>
      <c r="E477" s="55" t="s">
        <v>413</v>
      </c>
      <c r="F477" s="55" t="s">
        <v>209</v>
      </c>
      <c r="G477" s="55" t="s">
        <v>226</v>
      </c>
      <c r="H477" s="56">
        <v>5.68</v>
      </c>
    </row>
    <row r="478" spans="1:8" ht="14">
      <c r="A478" s="54" t="s">
        <v>292</v>
      </c>
      <c r="B478" s="55" t="s">
        <v>204</v>
      </c>
      <c r="C478" s="55" t="s">
        <v>287</v>
      </c>
      <c r="D478" s="55">
        <v>0</v>
      </c>
      <c r="E478" s="55" t="s">
        <v>413</v>
      </c>
      <c r="F478" s="55" t="s">
        <v>297</v>
      </c>
      <c r="G478" s="55" t="s">
        <v>369</v>
      </c>
      <c r="H478" s="56">
        <v>8.35</v>
      </c>
    </row>
    <row r="479" spans="1:8" ht="14">
      <c r="A479" s="54" t="s">
        <v>292</v>
      </c>
      <c r="B479" s="55" t="s">
        <v>204</v>
      </c>
      <c r="C479" s="55" t="s">
        <v>287</v>
      </c>
      <c r="D479" s="55">
        <v>0</v>
      </c>
      <c r="E479" s="55" t="s">
        <v>415</v>
      </c>
      <c r="F479" s="55" t="s">
        <v>207</v>
      </c>
      <c r="G479" s="55" t="s">
        <v>261</v>
      </c>
      <c r="H479" s="56">
        <v>2.81</v>
      </c>
    </row>
    <row r="480" spans="1:8" ht="14">
      <c r="A480" s="54" t="s">
        <v>292</v>
      </c>
      <c r="B480" s="55" t="s">
        <v>204</v>
      </c>
      <c r="C480" s="55" t="s">
        <v>287</v>
      </c>
      <c r="D480" s="55">
        <v>0</v>
      </c>
      <c r="E480" s="55" t="s">
        <v>415</v>
      </c>
      <c r="F480" s="55" t="s">
        <v>209</v>
      </c>
      <c r="G480" s="55" t="s">
        <v>368</v>
      </c>
      <c r="H480" s="56">
        <v>19.23</v>
      </c>
    </row>
    <row r="481" spans="1:8" ht="14">
      <c r="A481" s="54" t="s">
        <v>292</v>
      </c>
      <c r="B481" s="55" t="s">
        <v>204</v>
      </c>
      <c r="C481" s="55" t="s">
        <v>287</v>
      </c>
      <c r="D481" s="55">
        <v>0</v>
      </c>
      <c r="E481" s="55" t="s">
        <v>415</v>
      </c>
      <c r="F481" s="55" t="s">
        <v>209</v>
      </c>
      <c r="G481" s="55" t="s">
        <v>414</v>
      </c>
      <c r="H481" s="56">
        <v>6.13</v>
      </c>
    </row>
    <row r="482" spans="1:8" ht="14">
      <c r="A482" s="54" t="s">
        <v>292</v>
      </c>
      <c r="B482" s="55" t="s">
        <v>204</v>
      </c>
      <c r="C482" s="55" t="s">
        <v>287</v>
      </c>
      <c r="D482" s="55">
        <v>0</v>
      </c>
      <c r="E482" s="55" t="s">
        <v>415</v>
      </c>
      <c r="F482" s="55" t="s">
        <v>209</v>
      </c>
      <c r="G482" s="55" t="s">
        <v>220</v>
      </c>
      <c r="H482" s="56">
        <v>6.58</v>
      </c>
    </row>
    <row r="483" spans="1:8" ht="14">
      <c r="A483" s="54" t="s">
        <v>292</v>
      </c>
      <c r="B483" s="55" t="s">
        <v>204</v>
      </c>
      <c r="C483" s="55" t="s">
        <v>287</v>
      </c>
      <c r="D483" s="55">
        <v>0</v>
      </c>
      <c r="E483" s="55" t="s">
        <v>415</v>
      </c>
      <c r="F483" s="55" t="s">
        <v>209</v>
      </c>
      <c r="G483" s="55" t="s">
        <v>262</v>
      </c>
      <c r="H483" s="56">
        <v>5.9</v>
      </c>
    </row>
    <row r="484" spans="1:8" ht="14">
      <c r="A484" s="54" t="s">
        <v>292</v>
      </c>
      <c r="B484" s="55" t="s">
        <v>204</v>
      </c>
      <c r="C484" s="55" t="s">
        <v>287</v>
      </c>
      <c r="D484" s="55">
        <v>0</v>
      </c>
      <c r="E484" s="55" t="s">
        <v>415</v>
      </c>
      <c r="F484" s="55" t="s">
        <v>209</v>
      </c>
      <c r="G484" s="55" t="s">
        <v>226</v>
      </c>
      <c r="H484" s="56">
        <v>6.04</v>
      </c>
    </row>
    <row r="485" spans="1:8" ht="14">
      <c r="A485" s="54" t="s">
        <v>292</v>
      </c>
      <c r="B485" s="55" t="s">
        <v>204</v>
      </c>
      <c r="C485" s="55" t="s">
        <v>287</v>
      </c>
      <c r="D485" s="55">
        <v>0</v>
      </c>
      <c r="E485" s="55" t="s">
        <v>415</v>
      </c>
      <c r="F485" s="55" t="s">
        <v>297</v>
      </c>
      <c r="G485" s="55" t="s">
        <v>208</v>
      </c>
      <c r="H485" s="56">
        <v>9.34</v>
      </c>
    </row>
    <row r="486" spans="1:8" ht="14">
      <c r="A486" s="54" t="s">
        <v>292</v>
      </c>
      <c r="B486" s="55" t="s">
        <v>416</v>
      </c>
      <c r="C486" s="55" t="s">
        <v>246</v>
      </c>
      <c r="D486" s="55" t="s">
        <v>417</v>
      </c>
      <c r="E486" s="55" t="s">
        <v>418</v>
      </c>
      <c r="F486" s="55" t="s">
        <v>209</v>
      </c>
      <c r="G486" s="55" t="s">
        <v>362</v>
      </c>
      <c r="H486" s="56">
        <v>20.23</v>
      </c>
    </row>
    <row r="487" spans="1:8" ht="14">
      <c r="A487" s="54" t="s">
        <v>292</v>
      </c>
      <c r="B487" s="55" t="s">
        <v>416</v>
      </c>
      <c r="C487" s="55" t="s">
        <v>246</v>
      </c>
      <c r="D487" s="55" t="s">
        <v>417</v>
      </c>
      <c r="E487" s="55" t="s">
        <v>418</v>
      </c>
      <c r="F487" s="55" t="s">
        <v>209</v>
      </c>
      <c r="G487" s="55" t="s">
        <v>368</v>
      </c>
      <c r="H487" s="56">
        <v>21.29</v>
      </c>
    </row>
    <row r="488" spans="1:8" ht="14">
      <c r="A488" s="54" t="s">
        <v>292</v>
      </c>
      <c r="B488" s="55" t="s">
        <v>416</v>
      </c>
      <c r="C488" s="55" t="s">
        <v>246</v>
      </c>
      <c r="D488" s="55" t="s">
        <v>417</v>
      </c>
      <c r="E488" s="55" t="s">
        <v>418</v>
      </c>
      <c r="F488" s="55" t="s">
        <v>209</v>
      </c>
      <c r="G488" s="55" t="s">
        <v>334</v>
      </c>
      <c r="H488" s="56">
        <v>20.09</v>
      </c>
    </row>
    <row r="489" spans="1:8" ht="14">
      <c r="A489" s="54" t="s">
        <v>292</v>
      </c>
      <c r="B489" s="55" t="s">
        <v>416</v>
      </c>
      <c r="C489" s="55" t="s">
        <v>246</v>
      </c>
      <c r="D489" s="55" t="s">
        <v>417</v>
      </c>
      <c r="E489" s="55" t="s">
        <v>418</v>
      </c>
      <c r="F489" s="55" t="s">
        <v>209</v>
      </c>
      <c r="G489" s="55" t="s">
        <v>332</v>
      </c>
      <c r="H489" s="56">
        <v>18.68</v>
      </c>
    </row>
    <row r="490" spans="1:8" ht="14">
      <c r="A490" s="54" t="s">
        <v>292</v>
      </c>
      <c r="B490" s="55" t="s">
        <v>416</v>
      </c>
      <c r="C490" s="55" t="s">
        <v>246</v>
      </c>
      <c r="D490" s="55" t="s">
        <v>417</v>
      </c>
      <c r="E490" s="55" t="s">
        <v>419</v>
      </c>
      <c r="F490" s="55" t="s">
        <v>209</v>
      </c>
      <c r="G490" s="55" t="s">
        <v>362</v>
      </c>
      <c r="H490" s="56">
        <v>28.71</v>
      </c>
    </row>
    <row r="491" spans="1:8" ht="14">
      <c r="A491" s="54" t="s">
        <v>292</v>
      </c>
      <c r="B491" s="55" t="s">
        <v>416</v>
      </c>
      <c r="C491" s="55" t="s">
        <v>246</v>
      </c>
      <c r="D491" s="55" t="s">
        <v>417</v>
      </c>
      <c r="E491" s="55" t="s">
        <v>419</v>
      </c>
      <c r="F491" s="55" t="s">
        <v>209</v>
      </c>
      <c r="G491" s="55" t="s">
        <v>332</v>
      </c>
      <c r="H491" s="56">
        <v>28.77</v>
      </c>
    </row>
    <row r="492" spans="1:8" ht="14">
      <c r="A492" s="54" t="s">
        <v>292</v>
      </c>
      <c r="B492" s="55" t="s">
        <v>416</v>
      </c>
      <c r="C492" s="55" t="s">
        <v>246</v>
      </c>
      <c r="D492" s="55" t="s">
        <v>417</v>
      </c>
      <c r="E492" s="55" t="s">
        <v>420</v>
      </c>
      <c r="F492" s="55" t="s">
        <v>209</v>
      </c>
      <c r="G492" s="55" t="s">
        <v>362</v>
      </c>
      <c r="H492" s="56">
        <v>28.71</v>
      </c>
    </row>
    <row r="493" spans="1:8" ht="14">
      <c r="A493" s="54" t="s">
        <v>292</v>
      </c>
      <c r="B493" s="55" t="s">
        <v>416</v>
      </c>
      <c r="C493" s="55" t="s">
        <v>246</v>
      </c>
      <c r="D493" s="55" t="s">
        <v>417</v>
      </c>
      <c r="E493" s="55" t="s">
        <v>420</v>
      </c>
      <c r="F493" s="55" t="s">
        <v>209</v>
      </c>
      <c r="G493" s="55" t="s">
        <v>334</v>
      </c>
      <c r="H493" s="56">
        <v>39.17</v>
      </c>
    </row>
    <row r="494" spans="1:8" ht="14">
      <c r="A494" s="54" t="s">
        <v>292</v>
      </c>
      <c r="B494" s="55" t="s">
        <v>416</v>
      </c>
      <c r="C494" s="55" t="s">
        <v>246</v>
      </c>
      <c r="D494" s="55" t="s">
        <v>417</v>
      </c>
      <c r="E494" s="55" t="s">
        <v>421</v>
      </c>
      <c r="F494" s="55" t="s">
        <v>209</v>
      </c>
      <c r="G494" s="55" t="s">
        <v>368</v>
      </c>
      <c r="H494" s="56">
        <v>31.54</v>
      </c>
    </row>
    <row r="495" spans="1:8" ht="14">
      <c r="A495" s="54" t="s">
        <v>292</v>
      </c>
      <c r="B495" s="55" t="s">
        <v>416</v>
      </c>
      <c r="C495" s="55" t="s">
        <v>246</v>
      </c>
      <c r="D495" s="55" t="s">
        <v>417</v>
      </c>
      <c r="E495" s="55" t="s">
        <v>421</v>
      </c>
      <c r="F495" s="55" t="s">
        <v>209</v>
      </c>
      <c r="G495" s="55" t="s">
        <v>334</v>
      </c>
      <c r="H495" s="56">
        <v>40.47</v>
      </c>
    </row>
    <row r="496" spans="1:8" ht="14">
      <c r="A496" s="54" t="s">
        <v>292</v>
      </c>
      <c r="B496" s="55" t="s">
        <v>416</v>
      </c>
      <c r="C496" s="55" t="s">
        <v>287</v>
      </c>
      <c r="D496" s="55">
        <v>0</v>
      </c>
      <c r="E496" s="55" t="s">
        <v>422</v>
      </c>
      <c r="F496" s="55" t="s">
        <v>209</v>
      </c>
      <c r="G496" s="55" t="s">
        <v>334</v>
      </c>
      <c r="H496" s="56">
        <v>19.54</v>
      </c>
    </row>
    <row r="497" spans="1:8" ht="14">
      <c r="A497" s="54" t="s">
        <v>292</v>
      </c>
      <c r="B497" s="55" t="s">
        <v>423</v>
      </c>
      <c r="C497" s="55" t="s">
        <v>246</v>
      </c>
      <c r="D497" s="55" t="s">
        <v>255</v>
      </c>
      <c r="E497" s="55" t="s">
        <v>424</v>
      </c>
      <c r="F497" s="55" t="s">
        <v>306</v>
      </c>
      <c r="G497" s="55" t="s">
        <v>371</v>
      </c>
      <c r="H497" s="56">
        <v>11.05</v>
      </c>
    </row>
    <row r="498" spans="1:8" ht="14">
      <c r="A498" s="54" t="s">
        <v>292</v>
      </c>
      <c r="B498" s="55" t="s">
        <v>423</v>
      </c>
      <c r="C498" s="55" t="s">
        <v>246</v>
      </c>
      <c r="D498" s="55" t="s">
        <v>255</v>
      </c>
      <c r="E498" s="55" t="s">
        <v>424</v>
      </c>
      <c r="F498" s="55" t="s">
        <v>209</v>
      </c>
      <c r="G498" s="55" t="s">
        <v>425</v>
      </c>
      <c r="H498" s="56">
        <v>10.61</v>
      </c>
    </row>
    <row r="499" spans="1:8" ht="14">
      <c r="A499" s="54" t="s">
        <v>292</v>
      </c>
      <c r="B499" s="55" t="s">
        <v>423</v>
      </c>
      <c r="C499" s="55" t="s">
        <v>246</v>
      </c>
      <c r="D499" s="55" t="s">
        <v>255</v>
      </c>
      <c r="E499" s="55" t="s">
        <v>426</v>
      </c>
      <c r="F499" s="55" t="s">
        <v>306</v>
      </c>
      <c r="G499" s="55" t="s">
        <v>371</v>
      </c>
      <c r="H499" s="56">
        <v>52.18</v>
      </c>
    </row>
    <row r="500" spans="1:8" ht="14">
      <c r="A500" s="54" t="s">
        <v>292</v>
      </c>
      <c r="B500" s="55" t="s">
        <v>423</v>
      </c>
      <c r="C500" s="55" t="s">
        <v>246</v>
      </c>
      <c r="D500" s="55" t="s">
        <v>255</v>
      </c>
      <c r="E500" s="55" t="s">
        <v>426</v>
      </c>
      <c r="F500" s="55" t="s">
        <v>209</v>
      </c>
      <c r="G500" s="55" t="s">
        <v>334</v>
      </c>
      <c r="H500" s="56">
        <v>32.67</v>
      </c>
    </row>
    <row r="501" spans="1:8" ht="14">
      <c r="A501" s="54" t="s">
        <v>292</v>
      </c>
      <c r="B501" s="55" t="s">
        <v>423</v>
      </c>
      <c r="C501" s="55" t="s">
        <v>246</v>
      </c>
      <c r="D501" s="55" t="s">
        <v>255</v>
      </c>
      <c r="E501" s="55" t="s">
        <v>426</v>
      </c>
      <c r="F501" s="55" t="s">
        <v>209</v>
      </c>
      <c r="G501" s="55" t="s">
        <v>295</v>
      </c>
      <c r="H501" s="56">
        <v>28.77</v>
      </c>
    </row>
    <row r="502" spans="1:8" ht="14">
      <c r="A502" s="54" t="s">
        <v>292</v>
      </c>
      <c r="B502" s="55" t="s">
        <v>423</v>
      </c>
      <c r="C502" s="55" t="s">
        <v>246</v>
      </c>
      <c r="D502" s="55" t="s">
        <v>255</v>
      </c>
      <c r="E502" s="55" t="s">
        <v>427</v>
      </c>
      <c r="F502" s="55" t="s">
        <v>306</v>
      </c>
      <c r="G502" s="55" t="s">
        <v>371</v>
      </c>
      <c r="H502" s="56">
        <v>19.670000000000002</v>
      </c>
    </row>
    <row r="503" spans="1:8" ht="14">
      <c r="A503" s="54" t="s">
        <v>292</v>
      </c>
      <c r="B503" s="55" t="s">
        <v>423</v>
      </c>
      <c r="C503" s="55" t="s">
        <v>246</v>
      </c>
      <c r="D503" s="55" t="s">
        <v>255</v>
      </c>
      <c r="E503" s="55" t="s">
        <v>427</v>
      </c>
      <c r="F503" s="55" t="s">
        <v>209</v>
      </c>
      <c r="G503" s="55" t="s">
        <v>334</v>
      </c>
      <c r="H503" s="56">
        <v>12.52</v>
      </c>
    </row>
    <row r="504" spans="1:8" ht="14">
      <c r="A504" s="54" t="s">
        <v>292</v>
      </c>
      <c r="B504" s="55" t="s">
        <v>423</v>
      </c>
      <c r="C504" s="55" t="s">
        <v>246</v>
      </c>
      <c r="D504" s="55" t="s">
        <v>255</v>
      </c>
      <c r="E504" s="55" t="s">
        <v>427</v>
      </c>
      <c r="F504" s="55" t="s">
        <v>209</v>
      </c>
      <c r="G504" s="55" t="s">
        <v>295</v>
      </c>
      <c r="H504" s="56">
        <v>11.87</v>
      </c>
    </row>
    <row r="505" spans="1:8" ht="14">
      <c r="A505" s="54" t="s">
        <v>292</v>
      </c>
      <c r="B505" s="55" t="s">
        <v>423</v>
      </c>
      <c r="C505" s="55" t="s">
        <v>246</v>
      </c>
      <c r="D505" s="55" t="s">
        <v>255</v>
      </c>
      <c r="E505" s="55" t="s">
        <v>428</v>
      </c>
      <c r="F505" s="55" t="s">
        <v>209</v>
      </c>
      <c r="G505" s="55" t="s">
        <v>334</v>
      </c>
      <c r="H505" s="56">
        <v>9.14</v>
      </c>
    </row>
    <row r="506" spans="1:8" ht="14">
      <c r="A506" s="54" t="s">
        <v>292</v>
      </c>
      <c r="B506" s="55" t="s">
        <v>423</v>
      </c>
      <c r="C506" s="55" t="s">
        <v>246</v>
      </c>
      <c r="D506" s="55" t="s">
        <v>255</v>
      </c>
      <c r="E506" s="55" t="s">
        <v>428</v>
      </c>
      <c r="F506" s="55" t="s">
        <v>209</v>
      </c>
      <c r="G506" s="55" t="s">
        <v>295</v>
      </c>
      <c r="H506" s="56">
        <v>8.07</v>
      </c>
    </row>
    <row r="507" spans="1:8" ht="14">
      <c r="A507" s="54" t="s">
        <v>292</v>
      </c>
      <c r="B507" s="55" t="s">
        <v>423</v>
      </c>
      <c r="C507" s="55" t="s">
        <v>246</v>
      </c>
      <c r="D507" s="55" t="s">
        <v>429</v>
      </c>
      <c r="E507" s="55" t="s">
        <v>430</v>
      </c>
      <c r="F507" s="55" t="s">
        <v>306</v>
      </c>
      <c r="G507" s="55" t="s">
        <v>431</v>
      </c>
      <c r="H507" s="56">
        <v>20.8</v>
      </c>
    </row>
    <row r="508" spans="1:8" ht="14">
      <c r="A508" s="54" t="s">
        <v>292</v>
      </c>
      <c r="B508" s="55" t="s">
        <v>423</v>
      </c>
      <c r="C508" s="55" t="s">
        <v>246</v>
      </c>
      <c r="D508" s="55" t="s">
        <v>429</v>
      </c>
      <c r="E508" s="55" t="s">
        <v>432</v>
      </c>
      <c r="F508" s="55" t="s">
        <v>306</v>
      </c>
      <c r="G508" s="55" t="s">
        <v>431</v>
      </c>
      <c r="H508" s="56">
        <v>20.8</v>
      </c>
    </row>
    <row r="509" spans="1:8" ht="14">
      <c r="A509" s="54" t="s">
        <v>292</v>
      </c>
      <c r="B509" s="55" t="s">
        <v>423</v>
      </c>
      <c r="C509" s="55" t="s">
        <v>246</v>
      </c>
      <c r="D509" s="55" t="s">
        <v>429</v>
      </c>
      <c r="E509" s="55" t="s">
        <v>433</v>
      </c>
      <c r="F509" s="55" t="s">
        <v>306</v>
      </c>
      <c r="G509" s="55" t="s">
        <v>431</v>
      </c>
      <c r="H509" s="56">
        <v>22.21</v>
      </c>
    </row>
    <row r="510" spans="1:8" ht="14">
      <c r="A510" s="54" t="s">
        <v>292</v>
      </c>
      <c r="B510" s="55" t="s">
        <v>423</v>
      </c>
      <c r="C510" s="55" t="s">
        <v>287</v>
      </c>
      <c r="D510" s="55">
        <v>0</v>
      </c>
      <c r="E510" s="55" t="s">
        <v>434</v>
      </c>
      <c r="F510" s="55" t="s">
        <v>297</v>
      </c>
      <c r="G510" s="55" t="s">
        <v>208</v>
      </c>
      <c r="H510" s="56">
        <v>10.89</v>
      </c>
    </row>
    <row r="511" spans="1:8" ht="14">
      <c r="A511" s="54" t="s">
        <v>292</v>
      </c>
      <c r="B511" s="55" t="s">
        <v>423</v>
      </c>
      <c r="C511" s="55" t="s">
        <v>287</v>
      </c>
      <c r="D511" s="55">
        <v>0</v>
      </c>
      <c r="E511" s="55" t="s">
        <v>435</v>
      </c>
      <c r="F511" s="55" t="s">
        <v>297</v>
      </c>
      <c r="G511" s="55" t="s">
        <v>436</v>
      </c>
      <c r="H511" s="56">
        <v>6.65</v>
      </c>
    </row>
    <row r="512" spans="1:8" ht="14">
      <c r="A512" s="54" t="s">
        <v>292</v>
      </c>
      <c r="B512" s="55" t="s">
        <v>423</v>
      </c>
      <c r="C512" s="55" t="s">
        <v>287</v>
      </c>
      <c r="D512" s="55">
        <v>0</v>
      </c>
      <c r="E512" s="55" t="s">
        <v>437</v>
      </c>
      <c r="F512" s="55" t="s">
        <v>209</v>
      </c>
      <c r="G512" s="55" t="s">
        <v>294</v>
      </c>
      <c r="H512" s="56">
        <v>9.76</v>
      </c>
    </row>
    <row r="513" spans="1:8" ht="14">
      <c r="A513" s="54" t="s">
        <v>292</v>
      </c>
      <c r="B513" s="55" t="s">
        <v>423</v>
      </c>
      <c r="C513" s="55" t="s">
        <v>287</v>
      </c>
      <c r="D513" s="55">
        <v>0</v>
      </c>
      <c r="E513" s="55" t="s">
        <v>438</v>
      </c>
      <c r="F513" s="55" t="s">
        <v>209</v>
      </c>
      <c r="G513" s="55" t="s">
        <v>332</v>
      </c>
      <c r="H513" s="56">
        <v>12.73</v>
      </c>
    </row>
    <row r="514" spans="1:8" ht="14">
      <c r="A514" s="54" t="s">
        <v>292</v>
      </c>
      <c r="B514" s="55" t="s">
        <v>423</v>
      </c>
      <c r="C514" s="55" t="s">
        <v>287</v>
      </c>
      <c r="D514" s="55">
        <v>0</v>
      </c>
      <c r="E514" s="55" t="s">
        <v>439</v>
      </c>
      <c r="F514" s="55" t="s">
        <v>297</v>
      </c>
      <c r="G514" s="55" t="s">
        <v>436</v>
      </c>
      <c r="H514" s="56">
        <v>5.0999999999999996</v>
      </c>
    </row>
    <row r="515" spans="1:8" ht="14">
      <c r="A515" s="54" t="s">
        <v>292</v>
      </c>
      <c r="B515" s="55" t="s">
        <v>423</v>
      </c>
      <c r="C515" s="55" t="s">
        <v>287</v>
      </c>
      <c r="D515" s="55">
        <v>0</v>
      </c>
      <c r="E515" s="55" t="s">
        <v>440</v>
      </c>
      <c r="F515" s="55" t="s">
        <v>209</v>
      </c>
      <c r="G515" s="55" t="s">
        <v>441</v>
      </c>
      <c r="H515" s="56">
        <v>18.38</v>
      </c>
    </row>
    <row r="516" spans="1:8" ht="14">
      <c r="A516" s="54" t="s">
        <v>292</v>
      </c>
      <c r="B516" s="55" t="s">
        <v>423</v>
      </c>
      <c r="C516" s="55" t="s">
        <v>287</v>
      </c>
      <c r="D516" s="55">
        <v>0</v>
      </c>
      <c r="E516" s="55" t="s">
        <v>442</v>
      </c>
      <c r="F516" s="55" t="s">
        <v>297</v>
      </c>
      <c r="G516" s="55" t="s">
        <v>436</v>
      </c>
      <c r="H516" s="56">
        <v>7.36</v>
      </c>
    </row>
    <row r="517" spans="1:8" ht="14">
      <c r="A517" s="54" t="s">
        <v>292</v>
      </c>
      <c r="B517" s="55" t="s">
        <v>423</v>
      </c>
      <c r="C517" s="55" t="s">
        <v>287</v>
      </c>
      <c r="D517" s="55">
        <v>0</v>
      </c>
      <c r="E517" s="55" t="s">
        <v>443</v>
      </c>
      <c r="F517" s="55" t="s">
        <v>209</v>
      </c>
      <c r="G517" s="55" t="s">
        <v>332</v>
      </c>
      <c r="H517" s="56">
        <v>14.85</v>
      </c>
    </row>
    <row r="518" spans="1:8" ht="14">
      <c r="A518" s="54" t="s">
        <v>292</v>
      </c>
      <c r="B518" s="55" t="s">
        <v>423</v>
      </c>
      <c r="C518" s="55" t="s">
        <v>287</v>
      </c>
      <c r="D518" s="55">
        <v>0</v>
      </c>
      <c r="E518" s="55" t="s">
        <v>444</v>
      </c>
      <c r="F518" s="55" t="s">
        <v>209</v>
      </c>
      <c r="G518" s="55" t="s">
        <v>294</v>
      </c>
      <c r="H518" s="56">
        <v>9.9</v>
      </c>
    </row>
    <row r="519" spans="1:8" ht="14">
      <c r="A519" s="54" t="s">
        <v>292</v>
      </c>
      <c r="B519" s="55" t="s">
        <v>423</v>
      </c>
      <c r="C519" s="55" t="s">
        <v>287</v>
      </c>
      <c r="D519" s="55">
        <v>0</v>
      </c>
      <c r="E519" s="55" t="s">
        <v>445</v>
      </c>
      <c r="F519" s="55" t="s">
        <v>209</v>
      </c>
      <c r="G519" s="55" t="s">
        <v>441</v>
      </c>
      <c r="H519" s="56">
        <v>15.56</v>
      </c>
    </row>
    <row r="520" spans="1:8" ht="14">
      <c r="A520" s="54" t="s">
        <v>292</v>
      </c>
      <c r="B520" s="55" t="s">
        <v>423</v>
      </c>
      <c r="C520" s="55" t="s">
        <v>287</v>
      </c>
      <c r="D520" s="55">
        <v>0</v>
      </c>
      <c r="E520" s="55" t="s">
        <v>446</v>
      </c>
      <c r="F520" s="55" t="s">
        <v>297</v>
      </c>
      <c r="G520" s="55" t="s">
        <v>318</v>
      </c>
      <c r="H520" s="56">
        <v>8.91</v>
      </c>
    </row>
    <row r="521" spans="1:8" ht="14">
      <c r="A521" s="54" t="s">
        <v>292</v>
      </c>
      <c r="B521" s="55" t="s">
        <v>423</v>
      </c>
      <c r="C521" s="55" t="s">
        <v>287</v>
      </c>
      <c r="D521" s="55">
        <v>0</v>
      </c>
      <c r="E521" s="55" t="s">
        <v>447</v>
      </c>
      <c r="F521" s="55" t="s">
        <v>297</v>
      </c>
      <c r="G521" s="55" t="s">
        <v>436</v>
      </c>
      <c r="H521" s="56">
        <v>7.07</v>
      </c>
    </row>
    <row r="522" spans="1:8" ht="14">
      <c r="A522" s="54" t="s">
        <v>292</v>
      </c>
      <c r="B522" s="55" t="s">
        <v>423</v>
      </c>
      <c r="C522" s="55" t="s">
        <v>287</v>
      </c>
      <c r="D522" s="55">
        <v>0</v>
      </c>
      <c r="E522" s="55" t="s">
        <v>448</v>
      </c>
      <c r="F522" s="55" t="s">
        <v>209</v>
      </c>
      <c r="G522" s="55" t="s">
        <v>334</v>
      </c>
      <c r="H522" s="56">
        <v>12.48</v>
      </c>
    </row>
    <row r="523" spans="1:8" ht="14">
      <c r="A523" s="54" t="s">
        <v>292</v>
      </c>
      <c r="B523" s="55" t="s">
        <v>423</v>
      </c>
      <c r="C523" s="55" t="s">
        <v>287</v>
      </c>
      <c r="D523" s="55">
        <v>0</v>
      </c>
      <c r="E523" s="55" t="s">
        <v>449</v>
      </c>
      <c r="F523" s="55" t="s">
        <v>209</v>
      </c>
      <c r="G523" s="55" t="s">
        <v>441</v>
      </c>
      <c r="H523" s="56">
        <v>18.38</v>
      </c>
    </row>
    <row r="524" spans="1:8" ht="14">
      <c r="A524" s="54" t="s">
        <v>292</v>
      </c>
      <c r="B524" s="55" t="s">
        <v>423</v>
      </c>
      <c r="C524" s="55" t="s">
        <v>287</v>
      </c>
      <c r="D524" s="55">
        <v>0</v>
      </c>
      <c r="E524" s="55" t="s">
        <v>450</v>
      </c>
      <c r="F524" s="55" t="s">
        <v>343</v>
      </c>
      <c r="G524" s="55" t="s">
        <v>301</v>
      </c>
      <c r="H524" s="56">
        <v>10.18</v>
      </c>
    </row>
    <row r="525" spans="1:8" ht="14">
      <c r="A525" s="54" t="s">
        <v>292</v>
      </c>
      <c r="B525" s="55" t="s">
        <v>423</v>
      </c>
      <c r="C525" s="55" t="s">
        <v>287</v>
      </c>
      <c r="D525" s="55">
        <v>0</v>
      </c>
      <c r="E525" s="55" t="s">
        <v>451</v>
      </c>
      <c r="F525" s="55" t="s">
        <v>343</v>
      </c>
      <c r="G525" s="55" t="s">
        <v>301</v>
      </c>
      <c r="H525" s="56">
        <v>10.18</v>
      </c>
    </row>
    <row r="526" spans="1:8" ht="14">
      <c r="A526" s="54" t="s">
        <v>292</v>
      </c>
      <c r="B526" s="55" t="s">
        <v>452</v>
      </c>
      <c r="C526" s="55" t="s">
        <v>246</v>
      </c>
      <c r="D526" s="55" t="s">
        <v>453</v>
      </c>
      <c r="E526" s="55" t="s">
        <v>454</v>
      </c>
      <c r="F526" s="55" t="s">
        <v>209</v>
      </c>
      <c r="G526" s="55" t="s">
        <v>332</v>
      </c>
      <c r="H526" s="56">
        <v>9.93</v>
      </c>
    </row>
    <row r="527" spans="1:8" ht="14">
      <c r="A527" s="54" t="s">
        <v>292</v>
      </c>
      <c r="B527" s="55" t="s">
        <v>452</v>
      </c>
      <c r="C527" s="55" t="s">
        <v>246</v>
      </c>
      <c r="D527" s="55" t="s">
        <v>453</v>
      </c>
      <c r="E527" s="55" t="s">
        <v>454</v>
      </c>
      <c r="F527" s="55" t="s">
        <v>209</v>
      </c>
      <c r="G527" s="55" t="s">
        <v>332</v>
      </c>
      <c r="H527" s="56">
        <v>10.41</v>
      </c>
    </row>
    <row r="528" spans="1:8" ht="14">
      <c r="A528" s="54" t="s">
        <v>292</v>
      </c>
      <c r="B528" s="55" t="s">
        <v>452</v>
      </c>
      <c r="C528" s="55" t="s">
        <v>246</v>
      </c>
      <c r="D528" s="55" t="s">
        <v>453</v>
      </c>
      <c r="E528" s="55" t="s">
        <v>454</v>
      </c>
      <c r="F528" s="55" t="s">
        <v>209</v>
      </c>
      <c r="G528" s="55" t="s">
        <v>295</v>
      </c>
      <c r="H528" s="56">
        <v>9.93</v>
      </c>
    </row>
    <row r="529" spans="1:8" ht="14">
      <c r="A529" s="54" t="s">
        <v>292</v>
      </c>
      <c r="B529" s="55" t="s">
        <v>452</v>
      </c>
      <c r="C529" s="55" t="s">
        <v>246</v>
      </c>
      <c r="D529" s="55" t="s">
        <v>453</v>
      </c>
      <c r="E529" s="55" t="s">
        <v>454</v>
      </c>
      <c r="F529" s="55" t="s">
        <v>209</v>
      </c>
      <c r="G529" s="55" t="s">
        <v>295</v>
      </c>
      <c r="H529" s="56">
        <v>10.41</v>
      </c>
    </row>
    <row r="530" spans="1:8" ht="14">
      <c r="A530" s="54" t="s">
        <v>292</v>
      </c>
      <c r="B530" s="55" t="s">
        <v>452</v>
      </c>
      <c r="C530" s="55" t="s">
        <v>246</v>
      </c>
      <c r="D530" s="55" t="s">
        <v>453</v>
      </c>
      <c r="E530" s="55" t="s">
        <v>455</v>
      </c>
      <c r="F530" s="55" t="s">
        <v>209</v>
      </c>
      <c r="G530" s="55" t="s">
        <v>332</v>
      </c>
      <c r="H530" s="56">
        <v>9.93</v>
      </c>
    </row>
    <row r="531" spans="1:8" ht="14">
      <c r="A531" s="54" t="s">
        <v>292</v>
      </c>
      <c r="B531" s="55" t="s">
        <v>452</v>
      </c>
      <c r="C531" s="55" t="s">
        <v>246</v>
      </c>
      <c r="D531" s="55" t="s">
        <v>453</v>
      </c>
      <c r="E531" s="55" t="s">
        <v>455</v>
      </c>
      <c r="F531" s="55" t="s">
        <v>209</v>
      </c>
      <c r="G531" s="55" t="s">
        <v>332</v>
      </c>
      <c r="H531" s="56">
        <v>10.41</v>
      </c>
    </row>
    <row r="532" spans="1:8" ht="14">
      <c r="A532" s="54" t="s">
        <v>292</v>
      </c>
      <c r="B532" s="55" t="s">
        <v>452</v>
      </c>
      <c r="C532" s="55" t="s">
        <v>246</v>
      </c>
      <c r="D532" s="55" t="s">
        <v>453</v>
      </c>
      <c r="E532" s="55" t="s">
        <v>455</v>
      </c>
      <c r="F532" s="55" t="s">
        <v>209</v>
      </c>
      <c r="G532" s="55" t="s">
        <v>295</v>
      </c>
      <c r="H532" s="56">
        <v>9.93</v>
      </c>
    </row>
    <row r="533" spans="1:8" ht="14">
      <c r="A533" s="54" t="s">
        <v>292</v>
      </c>
      <c r="B533" s="55" t="s">
        <v>452</v>
      </c>
      <c r="C533" s="55" t="s">
        <v>246</v>
      </c>
      <c r="D533" s="55" t="s">
        <v>453</v>
      </c>
      <c r="E533" s="55" t="s">
        <v>455</v>
      </c>
      <c r="F533" s="55" t="s">
        <v>209</v>
      </c>
      <c r="G533" s="55" t="s">
        <v>295</v>
      </c>
      <c r="H533" s="56">
        <v>10.41</v>
      </c>
    </row>
    <row r="534" spans="1:8" ht="14">
      <c r="A534" s="54" t="s">
        <v>292</v>
      </c>
      <c r="B534" s="55" t="s">
        <v>452</v>
      </c>
      <c r="C534" s="55" t="s">
        <v>246</v>
      </c>
      <c r="D534" s="55" t="s">
        <v>453</v>
      </c>
      <c r="E534" s="55" t="s">
        <v>456</v>
      </c>
      <c r="F534" s="55" t="s">
        <v>209</v>
      </c>
      <c r="G534" s="55" t="s">
        <v>362</v>
      </c>
      <c r="H534" s="56">
        <v>12.54</v>
      </c>
    </row>
    <row r="535" spans="1:8" ht="14">
      <c r="A535" s="54" t="s">
        <v>292</v>
      </c>
      <c r="B535" s="55" t="s">
        <v>452</v>
      </c>
      <c r="C535" s="55" t="s">
        <v>246</v>
      </c>
      <c r="D535" s="55" t="s">
        <v>453</v>
      </c>
      <c r="E535" s="55" t="s">
        <v>456</v>
      </c>
      <c r="F535" s="55" t="s">
        <v>209</v>
      </c>
      <c r="G535" s="55" t="s">
        <v>457</v>
      </c>
      <c r="H535" s="56">
        <v>12.54</v>
      </c>
    </row>
    <row r="536" spans="1:8" ht="14">
      <c r="A536" s="54" t="s">
        <v>292</v>
      </c>
      <c r="B536" s="55" t="s">
        <v>452</v>
      </c>
      <c r="C536" s="55" t="s">
        <v>246</v>
      </c>
      <c r="D536" s="55" t="s">
        <v>453</v>
      </c>
      <c r="E536" s="55" t="s">
        <v>456</v>
      </c>
      <c r="F536" s="55" t="s">
        <v>209</v>
      </c>
      <c r="G536" s="55" t="s">
        <v>257</v>
      </c>
      <c r="H536" s="56">
        <v>16.07</v>
      </c>
    </row>
    <row r="537" spans="1:8" ht="14">
      <c r="A537" s="54" t="s">
        <v>292</v>
      </c>
      <c r="B537" s="55" t="s">
        <v>452</v>
      </c>
      <c r="C537" s="55" t="s">
        <v>246</v>
      </c>
      <c r="D537" s="55" t="s">
        <v>453</v>
      </c>
      <c r="E537" s="55" t="s">
        <v>456</v>
      </c>
      <c r="F537" s="55" t="s">
        <v>209</v>
      </c>
      <c r="G537" s="55" t="s">
        <v>220</v>
      </c>
      <c r="H537" s="56">
        <v>16.07</v>
      </c>
    </row>
    <row r="538" spans="1:8" ht="14">
      <c r="A538" s="54" t="s">
        <v>292</v>
      </c>
      <c r="B538" s="55" t="s">
        <v>452</v>
      </c>
      <c r="C538" s="55" t="s">
        <v>246</v>
      </c>
      <c r="D538" s="55" t="s">
        <v>453</v>
      </c>
      <c r="E538" s="55" t="s">
        <v>456</v>
      </c>
      <c r="F538" s="55" t="s">
        <v>209</v>
      </c>
      <c r="G538" s="55" t="s">
        <v>334</v>
      </c>
      <c r="H538" s="56">
        <v>13.25</v>
      </c>
    </row>
    <row r="539" spans="1:8" ht="14">
      <c r="A539" s="54" t="s">
        <v>292</v>
      </c>
      <c r="B539" s="55" t="s">
        <v>452</v>
      </c>
      <c r="C539" s="55" t="s">
        <v>246</v>
      </c>
      <c r="D539" s="55" t="s">
        <v>453</v>
      </c>
      <c r="E539" s="55" t="s">
        <v>456</v>
      </c>
      <c r="F539" s="55" t="s">
        <v>209</v>
      </c>
      <c r="G539" s="55" t="s">
        <v>332</v>
      </c>
      <c r="H539" s="56">
        <v>11.83</v>
      </c>
    </row>
    <row r="540" spans="1:8" ht="14">
      <c r="A540" s="54" t="s">
        <v>292</v>
      </c>
      <c r="B540" s="55" t="s">
        <v>452</v>
      </c>
      <c r="C540" s="55" t="s">
        <v>246</v>
      </c>
      <c r="D540" s="55" t="s">
        <v>453</v>
      </c>
      <c r="E540" s="55" t="s">
        <v>456</v>
      </c>
      <c r="F540" s="55" t="s">
        <v>209</v>
      </c>
      <c r="G540" s="55" t="s">
        <v>332</v>
      </c>
      <c r="H540" s="56">
        <v>12.32</v>
      </c>
    </row>
    <row r="541" spans="1:8" ht="14">
      <c r="A541" s="54" t="s">
        <v>292</v>
      </c>
      <c r="B541" s="55" t="s">
        <v>452</v>
      </c>
      <c r="C541" s="55" t="s">
        <v>246</v>
      </c>
      <c r="D541" s="55" t="s">
        <v>453</v>
      </c>
      <c r="E541" s="55" t="s">
        <v>456</v>
      </c>
      <c r="F541" s="55" t="s">
        <v>209</v>
      </c>
      <c r="G541" s="55" t="s">
        <v>458</v>
      </c>
      <c r="H541" s="56">
        <v>13.67</v>
      </c>
    </row>
    <row r="542" spans="1:8" ht="14">
      <c r="A542" s="54" t="s">
        <v>292</v>
      </c>
      <c r="B542" s="55" t="s">
        <v>452</v>
      </c>
      <c r="C542" s="55" t="s">
        <v>246</v>
      </c>
      <c r="D542" s="55" t="s">
        <v>453</v>
      </c>
      <c r="E542" s="55" t="s">
        <v>456</v>
      </c>
      <c r="F542" s="55" t="s">
        <v>209</v>
      </c>
      <c r="G542" s="55" t="s">
        <v>295</v>
      </c>
      <c r="H542" s="56">
        <v>12.54</v>
      </c>
    </row>
    <row r="543" spans="1:8" ht="14">
      <c r="A543" s="54" t="s">
        <v>292</v>
      </c>
      <c r="B543" s="55" t="s">
        <v>452</v>
      </c>
      <c r="C543" s="55" t="s">
        <v>246</v>
      </c>
      <c r="D543" s="55" t="s">
        <v>453</v>
      </c>
      <c r="E543" s="55" t="s">
        <v>456</v>
      </c>
      <c r="F543" s="55" t="s">
        <v>209</v>
      </c>
      <c r="G543" s="55" t="s">
        <v>295</v>
      </c>
      <c r="H543" s="56">
        <v>13.03</v>
      </c>
    </row>
    <row r="544" spans="1:8" ht="14">
      <c r="A544" s="54" t="s">
        <v>292</v>
      </c>
      <c r="B544" s="55" t="s">
        <v>452</v>
      </c>
      <c r="C544" s="55" t="s">
        <v>246</v>
      </c>
      <c r="D544" s="55" t="s">
        <v>453</v>
      </c>
      <c r="E544" s="55" t="s">
        <v>456</v>
      </c>
      <c r="F544" s="55" t="s">
        <v>209</v>
      </c>
      <c r="G544" s="55" t="s">
        <v>459</v>
      </c>
      <c r="H544" s="56">
        <v>15.09</v>
      </c>
    </row>
    <row r="545" spans="1:8" ht="14">
      <c r="A545" s="54" t="s">
        <v>292</v>
      </c>
      <c r="B545" s="55" t="s">
        <v>452</v>
      </c>
      <c r="C545" s="55" t="s">
        <v>246</v>
      </c>
      <c r="D545" s="55" t="s">
        <v>453</v>
      </c>
      <c r="E545" s="55" t="s">
        <v>456</v>
      </c>
      <c r="F545" s="55" t="s">
        <v>209</v>
      </c>
      <c r="G545" s="55" t="s">
        <v>460</v>
      </c>
      <c r="H545" s="56">
        <v>14.31</v>
      </c>
    </row>
    <row r="546" spans="1:8" ht="14">
      <c r="A546" s="54" t="s">
        <v>292</v>
      </c>
      <c r="B546" s="55" t="s">
        <v>452</v>
      </c>
      <c r="C546" s="55" t="s">
        <v>246</v>
      </c>
      <c r="D546" s="55" t="s">
        <v>453</v>
      </c>
      <c r="E546" s="55" t="s">
        <v>456</v>
      </c>
      <c r="F546" s="55" t="s">
        <v>209</v>
      </c>
      <c r="G546" s="55" t="s">
        <v>461</v>
      </c>
      <c r="H546" s="56">
        <v>13.95</v>
      </c>
    </row>
    <row r="547" spans="1:8" ht="14">
      <c r="A547" s="54" t="s">
        <v>292</v>
      </c>
      <c r="B547" s="55" t="s">
        <v>452</v>
      </c>
      <c r="C547" s="55" t="s">
        <v>246</v>
      </c>
      <c r="D547" s="55" t="s">
        <v>453</v>
      </c>
      <c r="E547" s="55" t="s">
        <v>456</v>
      </c>
      <c r="F547" s="55" t="s">
        <v>209</v>
      </c>
      <c r="G547" s="55" t="s">
        <v>346</v>
      </c>
      <c r="H547" s="56">
        <v>14.44</v>
      </c>
    </row>
    <row r="548" spans="1:8" ht="14">
      <c r="A548" s="54" t="s">
        <v>292</v>
      </c>
      <c r="B548" s="55" t="s">
        <v>452</v>
      </c>
      <c r="C548" s="55" t="s">
        <v>246</v>
      </c>
      <c r="D548" s="55" t="s">
        <v>453</v>
      </c>
      <c r="E548" s="55" t="s">
        <v>462</v>
      </c>
      <c r="F548" s="55" t="s">
        <v>209</v>
      </c>
      <c r="G548" s="55" t="s">
        <v>362</v>
      </c>
      <c r="H548" s="56">
        <v>12.54</v>
      </c>
    </row>
    <row r="549" spans="1:8" ht="14">
      <c r="A549" s="54" t="s">
        <v>292</v>
      </c>
      <c r="B549" s="55" t="s">
        <v>452</v>
      </c>
      <c r="C549" s="55" t="s">
        <v>246</v>
      </c>
      <c r="D549" s="55" t="s">
        <v>453</v>
      </c>
      <c r="E549" s="55" t="s">
        <v>462</v>
      </c>
      <c r="F549" s="55" t="s">
        <v>209</v>
      </c>
      <c r="G549" s="55" t="s">
        <v>457</v>
      </c>
      <c r="H549" s="56">
        <v>12.54</v>
      </c>
    </row>
    <row r="550" spans="1:8" ht="14">
      <c r="A550" s="54" t="s">
        <v>292</v>
      </c>
      <c r="B550" s="55" t="s">
        <v>452</v>
      </c>
      <c r="C550" s="55" t="s">
        <v>246</v>
      </c>
      <c r="D550" s="55" t="s">
        <v>453</v>
      </c>
      <c r="E550" s="55" t="s">
        <v>462</v>
      </c>
      <c r="F550" s="55" t="s">
        <v>209</v>
      </c>
      <c r="G550" s="55" t="s">
        <v>257</v>
      </c>
      <c r="H550" s="56">
        <v>16.07</v>
      </c>
    </row>
    <row r="551" spans="1:8" ht="14">
      <c r="A551" s="54" t="s">
        <v>292</v>
      </c>
      <c r="B551" s="55" t="s">
        <v>452</v>
      </c>
      <c r="C551" s="55" t="s">
        <v>246</v>
      </c>
      <c r="D551" s="55" t="s">
        <v>453</v>
      </c>
      <c r="E551" s="55" t="s">
        <v>462</v>
      </c>
      <c r="F551" s="55" t="s">
        <v>209</v>
      </c>
      <c r="G551" s="55" t="s">
        <v>220</v>
      </c>
      <c r="H551" s="56">
        <v>16.07</v>
      </c>
    </row>
    <row r="552" spans="1:8" ht="14">
      <c r="A552" s="54" t="s">
        <v>292</v>
      </c>
      <c r="B552" s="55" t="s">
        <v>452</v>
      </c>
      <c r="C552" s="55" t="s">
        <v>246</v>
      </c>
      <c r="D552" s="55" t="s">
        <v>453</v>
      </c>
      <c r="E552" s="55" t="s">
        <v>462</v>
      </c>
      <c r="F552" s="55" t="s">
        <v>209</v>
      </c>
      <c r="G552" s="55" t="s">
        <v>334</v>
      </c>
      <c r="H552" s="56">
        <v>13.25</v>
      </c>
    </row>
    <row r="553" spans="1:8" ht="14">
      <c r="A553" s="54" t="s">
        <v>292</v>
      </c>
      <c r="B553" s="55" t="s">
        <v>452</v>
      </c>
      <c r="C553" s="55" t="s">
        <v>246</v>
      </c>
      <c r="D553" s="55" t="s">
        <v>453</v>
      </c>
      <c r="E553" s="55" t="s">
        <v>462</v>
      </c>
      <c r="F553" s="55" t="s">
        <v>209</v>
      </c>
      <c r="G553" s="55" t="s">
        <v>332</v>
      </c>
      <c r="H553" s="56">
        <v>11.83</v>
      </c>
    </row>
    <row r="554" spans="1:8" ht="14">
      <c r="A554" s="54" t="s">
        <v>292</v>
      </c>
      <c r="B554" s="55" t="s">
        <v>452</v>
      </c>
      <c r="C554" s="55" t="s">
        <v>246</v>
      </c>
      <c r="D554" s="55" t="s">
        <v>453</v>
      </c>
      <c r="E554" s="55" t="s">
        <v>462</v>
      </c>
      <c r="F554" s="55" t="s">
        <v>209</v>
      </c>
      <c r="G554" s="55" t="s">
        <v>332</v>
      </c>
      <c r="H554" s="56">
        <v>12.32</v>
      </c>
    </row>
    <row r="555" spans="1:8" ht="14">
      <c r="A555" s="54" t="s">
        <v>292</v>
      </c>
      <c r="B555" s="55" t="s">
        <v>452</v>
      </c>
      <c r="C555" s="55" t="s">
        <v>246</v>
      </c>
      <c r="D555" s="55" t="s">
        <v>453</v>
      </c>
      <c r="E555" s="55" t="s">
        <v>462</v>
      </c>
      <c r="F555" s="55" t="s">
        <v>209</v>
      </c>
      <c r="G555" s="55" t="s">
        <v>458</v>
      </c>
      <c r="H555" s="56">
        <v>13.67</v>
      </c>
    </row>
    <row r="556" spans="1:8" ht="14">
      <c r="A556" s="54" t="s">
        <v>292</v>
      </c>
      <c r="B556" s="55" t="s">
        <v>452</v>
      </c>
      <c r="C556" s="55" t="s">
        <v>246</v>
      </c>
      <c r="D556" s="55" t="s">
        <v>453</v>
      </c>
      <c r="E556" s="55" t="s">
        <v>462</v>
      </c>
      <c r="F556" s="55" t="s">
        <v>209</v>
      </c>
      <c r="G556" s="55" t="s">
        <v>295</v>
      </c>
      <c r="H556" s="56">
        <v>12.54</v>
      </c>
    </row>
    <row r="557" spans="1:8" ht="14">
      <c r="A557" s="54" t="s">
        <v>292</v>
      </c>
      <c r="B557" s="55" t="s">
        <v>452</v>
      </c>
      <c r="C557" s="55" t="s">
        <v>246</v>
      </c>
      <c r="D557" s="55" t="s">
        <v>453</v>
      </c>
      <c r="E557" s="55" t="s">
        <v>462</v>
      </c>
      <c r="F557" s="55" t="s">
        <v>209</v>
      </c>
      <c r="G557" s="55" t="s">
        <v>295</v>
      </c>
      <c r="H557" s="56">
        <v>13.03</v>
      </c>
    </row>
    <row r="558" spans="1:8" ht="14">
      <c r="A558" s="54" t="s">
        <v>292</v>
      </c>
      <c r="B558" s="55" t="s">
        <v>452</v>
      </c>
      <c r="C558" s="55" t="s">
        <v>246</v>
      </c>
      <c r="D558" s="55" t="s">
        <v>453</v>
      </c>
      <c r="E558" s="55" t="s">
        <v>462</v>
      </c>
      <c r="F558" s="55" t="s">
        <v>209</v>
      </c>
      <c r="G558" s="55" t="s">
        <v>459</v>
      </c>
      <c r="H558" s="56">
        <v>15.09</v>
      </c>
    </row>
    <row r="559" spans="1:8" ht="14">
      <c r="A559" s="54" t="s">
        <v>292</v>
      </c>
      <c r="B559" s="55" t="s">
        <v>452</v>
      </c>
      <c r="C559" s="55" t="s">
        <v>246</v>
      </c>
      <c r="D559" s="55" t="s">
        <v>453</v>
      </c>
      <c r="E559" s="55" t="s">
        <v>462</v>
      </c>
      <c r="F559" s="55" t="s">
        <v>209</v>
      </c>
      <c r="G559" s="55" t="s">
        <v>460</v>
      </c>
      <c r="H559" s="56">
        <v>14.31</v>
      </c>
    </row>
    <row r="560" spans="1:8" ht="14">
      <c r="A560" s="54" t="s">
        <v>292</v>
      </c>
      <c r="B560" s="55" t="s">
        <v>452</v>
      </c>
      <c r="C560" s="55" t="s">
        <v>246</v>
      </c>
      <c r="D560" s="55" t="s">
        <v>453</v>
      </c>
      <c r="E560" s="55" t="s">
        <v>462</v>
      </c>
      <c r="F560" s="55" t="s">
        <v>209</v>
      </c>
      <c r="G560" s="55" t="s">
        <v>461</v>
      </c>
      <c r="H560" s="56">
        <v>13.95</v>
      </c>
    </row>
    <row r="561" spans="1:8" ht="14">
      <c r="A561" s="54" t="s">
        <v>292</v>
      </c>
      <c r="B561" s="55" t="s">
        <v>452</v>
      </c>
      <c r="C561" s="55" t="s">
        <v>246</v>
      </c>
      <c r="D561" s="55" t="s">
        <v>453</v>
      </c>
      <c r="E561" s="55" t="s">
        <v>462</v>
      </c>
      <c r="F561" s="55" t="s">
        <v>209</v>
      </c>
      <c r="G561" s="55" t="s">
        <v>346</v>
      </c>
      <c r="H561" s="56">
        <v>14.44</v>
      </c>
    </row>
    <row r="562" spans="1:8" ht="14">
      <c r="A562" s="54" t="s">
        <v>292</v>
      </c>
      <c r="B562" s="55" t="s">
        <v>452</v>
      </c>
      <c r="C562" s="55" t="s">
        <v>246</v>
      </c>
      <c r="D562" s="55" t="s">
        <v>453</v>
      </c>
      <c r="E562" s="55" t="s">
        <v>463</v>
      </c>
      <c r="F562" s="55" t="s">
        <v>209</v>
      </c>
      <c r="G562" s="55" t="s">
        <v>362</v>
      </c>
      <c r="H562" s="56">
        <v>13.25</v>
      </c>
    </row>
    <row r="563" spans="1:8" ht="14">
      <c r="A563" s="54" t="s">
        <v>292</v>
      </c>
      <c r="B563" s="55" t="s">
        <v>452</v>
      </c>
      <c r="C563" s="55" t="s">
        <v>246</v>
      </c>
      <c r="D563" s="55" t="s">
        <v>453</v>
      </c>
      <c r="E563" s="55" t="s">
        <v>463</v>
      </c>
      <c r="F563" s="55" t="s">
        <v>209</v>
      </c>
      <c r="G563" s="55" t="s">
        <v>457</v>
      </c>
      <c r="H563" s="56">
        <v>15.37</v>
      </c>
    </row>
    <row r="564" spans="1:8" ht="14">
      <c r="A564" s="54" t="s">
        <v>292</v>
      </c>
      <c r="B564" s="55" t="s">
        <v>452</v>
      </c>
      <c r="C564" s="55" t="s">
        <v>246</v>
      </c>
      <c r="D564" s="55" t="s">
        <v>453</v>
      </c>
      <c r="E564" s="55" t="s">
        <v>463</v>
      </c>
      <c r="F564" s="55" t="s">
        <v>209</v>
      </c>
      <c r="G564" s="55" t="s">
        <v>257</v>
      </c>
      <c r="H564" s="56">
        <v>17.489999999999998</v>
      </c>
    </row>
    <row r="565" spans="1:8" ht="14">
      <c r="A565" s="54" t="s">
        <v>292</v>
      </c>
      <c r="B565" s="55" t="s">
        <v>452</v>
      </c>
      <c r="C565" s="55" t="s">
        <v>246</v>
      </c>
      <c r="D565" s="55" t="s">
        <v>453</v>
      </c>
      <c r="E565" s="55" t="s">
        <v>463</v>
      </c>
      <c r="F565" s="55" t="s">
        <v>209</v>
      </c>
      <c r="G565" s="55" t="s">
        <v>334</v>
      </c>
      <c r="H565" s="56">
        <v>14.66</v>
      </c>
    </row>
    <row r="566" spans="1:8" ht="14">
      <c r="A566" s="54" t="s">
        <v>292</v>
      </c>
      <c r="B566" s="55" t="s">
        <v>452</v>
      </c>
      <c r="C566" s="55" t="s">
        <v>246</v>
      </c>
      <c r="D566" s="55" t="s">
        <v>453</v>
      </c>
      <c r="E566" s="55" t="s">
        <v>463</v>
      </c>
      <c r="F566" s="55" t="s">
        <v>209</v>
      </c>
      <c r="G566" s="55" t="s">
        <v>332</v>
      </c>
      <c r="H566" s="56">
        <v>12.82</v>
      </c>
    </row>
    <row r="567" spans="1:8" ht="14">
      <c r="A567" s="54" t="s">
        <v>292</v>
      </c>
      <c r="B567" s="55" t="s">
        <v>452</v>
      </c>
      <c r="C567" s="55" t="s">
        <v>246</v>
      </c>
      <c r="D567" s="55" t="s">
        <v>453</v>
      </c>
      <c r="E567" s="55" t="s">
        <v>463</v>
      </c>
      <c r="F567" s="55" t="s">
        <v>209</v>
      </c>
      <c r="G567" s="55" t="s">
        <v>332</v>
      </c>
      <c r="H567" s="56">
        <v>13.31</v>
      </c>
    </row>
    <row r="568" spans="1:8" ht="14">
      <c r="A568" s="54" t="s">
        <v>292</v>
      </c>
      <c r="B568" s="55" t="s">
        <v>452</v>
      </c>
      <c r="C568" s="55" t="s">
        <v>246</v>
      </c>
      <c r="D568" s="55" t="s">
        <v>453</v>
      </c>
      <c r="E568" s="55" t="s">
        <v>463</v>
      </c>
      <c r="F568" s="55" t="s">
        <v>209</v>
      </c>
      <c r="G568" s="55" t="s">
        <v>458</v>
      </c>
      <c r="H568" s="56">
        <v>14.66</v>
      </c>
    </row>
    <row r="569" spans="1:8" ht="14">
      <c r="A569" s="54" t="s">
        <v>292</v>
      </c>
      <c r="B569" s="55" t="s">
        <v>452</v>
      </c>
      <c r="C569" s="55" t="s">
        <v>246</v>
      </c>
      <c r="D569" s="55" t="s">
        <v>453</v>
      </c>
      <c r="E569" s="55" t="s">
        <v>463</v>
      </c>
      <c r="F569" s="55" t="s">
        <v>209</v>
      </c>
      <c r="G569" s="55" t="s">
        <v>295</v>
      </c>
      <c r="H569" s="56">
        <v>13.81</v>
      </c>
    </row>
    <row r="570" spans="1:8" ht="14">
      <c r="A570" s="54" t="s">
        <v>292</v>
      </c>
      <c r="B570" s="55" t="s">
        <v>452</v>
      </c>
      <c r="C570" s="55" t="s">
        <v>246</v>
      </c>
      <c r="D570" s="55" t="s">
        <v>453</v>
      </c>
      <c r="E570" s="55" t="s">
        <v>463</v>
      </c>
      <c r="F570" s="55" t="s">
        <v>209</v>
      </c>
      <c r="G570" s="55" t="s">
        <v>295</v>
      </c>
      <c r="H570" s="56">
        <v>14.3</v>
      </c>
    </row>
    <row r="571" spans="1:8" ht="14">
      <c r="A571" s="54" t="s">
        <v>292</v>
      </c>
      <c r="B571" s="55" t="s">
        <v>452</v>
      </c>
      <c r="C571" s="55" t="s">
        <v>246</v>
      </c>
      <c r="D571" s="55" t="s">
        <v>453</v>
      </c>
      <c r="E571" s="55" t="s">
        <v>463</v>
      </c>
      <c r="F571" s="55" t="s">
        <v>209</v>
      </c>
      <c r="G571" s="55" t="s">
        <v>459</v>
      </c>
      <c r="H571" s="56">
        <v>16.27</v>
      </c>
    </row>
    <row r="572" spans="1:8" ht="14">
      <c r="A572" s="54" t="s">
        <v>292</v>
      </c>
      <c r="B572" s="55" t="s">
        <v>452</v>
      </c>
      <c r="C572" s="55" t="s">
        <v>246</v>
      </c>
      <c r="D572" s="55" t="s">
        <v>453</v>
      </c>
      <c r="E572" s="55" t="s">
        <v>463</v>
      </c>
      <c r="F572" s="55" t="s">
        <v>209</v>
      </c>
      <c r="G572" s="55" t="s">
        <v>460</v>
      </c>
      <c r="H572" s="56">
        <v>14.31</v>
      </c>
    </row>
    <row r="573" spans="1:8" ht="14">
      <c r="A573" s="54" t="s">
        <v>292</v>
      </c>
      <c r="B573" s="55" t="s">
        <v>452</v>
      </c>
      <c r="C573" s="55" t="s">
        <v>246</v>
      </c>
      <c r="D573" s="55" t="s">
        <v>453</v>
      </c>
      <c r="E573" s="55" t="s">
        <v>463</v>
      </c>
      <c r="F573" s="55" t="s">
        <v>209</v>
      </c>
      <c r="G573" s="55" t="s">
        <v>461</v>
      </c>
      <c r="H573" s="56">
        <v>14.66</v>
      </c>
    </row>
    <row r="574" spans="1:8" ht="14">
      <c r="A574" s="54" t="s">
        <v>292</v>
      </c>
      <c r="B574" s="55" t="s">
        <v>452</v>
      </c>
      <c r="C574" s="55" t="s">
        <v>246</v>
      </c>
      <c r="D574" s="55" t="s">
        <v>453</v>
      </c>
      <c r="E574" s="55" t="s">
        <v>463</v>
      </c>
      <c r="F574" s="55" t="s">
        <v>209</v>
      </c>
      <c r="G574" s="55" t="s">
        <v>346</v>
      </c>
      <c r="H574" s="56">
        <v>15.15</v>
      </c>
    </row>
    <row r="575" spans="1:8" ht="14">
      <c r="A575" s="54" t="s">
        <v>292</v>
      </c>
      <c r="B575" s="55" t="s">
        <v>452</v>
      </c>
      <c r="C575" s="55" t="s">
        <v>246</v>
      </c>
      <c r="D575" s="55" t="s">
        <v>453</v>
      </c>
      <c r="E575" s="55" t="s">
        <v>464</v>
      </c>
      <c r="F575" s="55" t="s">
        <v>209</v>
      </c>
      <c r="G575" s="55" t="s">
        <v>362</v>
      </c>
      <c r="H575" s="56">
        <v>13.25</v>
      </c>
    </row>
    <row r="576" spans="1:8" ht="14">
      <c r="A576" s="54" t="s">
        <v>292</v>
      </c>
      <c r="B576" s="55" t="s">
        <v>452</v>
      </c>
      <c r="C576" s="55" t="s">
        <v>246</v>
      </c>
      <c r="D576" s="55" t="s">
        <v>453</v>
      </c>
      <c r="E576" s="55" t="s">
        <v>464</v>
      </c>
      <c r="F576" s="55" t="s">
        <v>209</v>
      </c>
      <c r="G576" s="55" t="s">
        <v>457</v>
      </c>
      <c r="H576" s="56">
        <v>15.37</v>
      </c>
    </row>
    <row r="577" spans="1:8" ht="14">
      <c r="A577" s="54" t="s">
        <v>292</v>
      </c>
      <c r="B577" s="55" t="s">
        <v>452</v>
      </c>
      <c r="C577" s="55" t="s">
        <v>246</v>
      </c>
      <c r="D577" s="55" t="s">
        <v>453</v>
      </c>
      <c r="E577" s="55" t="s">
        <v>464</v>
      </c>
      <c r="F577" s="55" t="s">
        <v>209</v>
      </c>
      <c r="G577" s="55" t="s">
        <v>257</v>
      </c>
      <c r="H577" s="56">
        <v>17.489999999999998</v>
      </c>
    </row>
    <row r="578" spans="1:8" ht="14">
      <c r="A578" s="54" t="s">
        <v>292</v>
      </c>
      <c r="B578" s="55" t="s">
        <v>452</v>
      </c>
      <c r="C578" s="55" t="s">
        <v>246</v>
      </c>
      <c r="D578" s="55" t="s">
        <v>453</v>
      </c>
      <c r="E578" s="55" t="s">
        <v>464</v>
      </c>
      <c r="F578" s="55" t="s">
        <v>209</v>
      </c>
      <c r="G578" s="55" t="s">
        <v>334</v>
      </c>
      <c r="H578" s="56">
        <v>14.66</v>
      </c>
    </row>
    <row r="579" spans="1:8" ht="14">
      <c r="A579" s="54" t="s">
        <v>292</v>
      </c>
      <c r="B579" s="55" t="s">
        <v>452</v>
      </c>
      <c r="C579" s="55" t="s">
        <v>246</v>
      </c>
      <c r="D579" s="55" t="s">
        <v>453</v>
      </c>
      <c r="E579" s="55" t="s">
        <v>464</v>
      </c>
      <c r="F579" s="55" t="s">
        <v>209</v>
      </c>
      <c r="G579" s="55" t="s">
        <v>332</v>
      </c>
      <c r="H579" s="56">
        <v>12.82</v>
      </c>
    </row>
    <row r="580" spans="1:8" ht="14">
      <c r="A580" s="54" t="s">
        <v>292</v>
      </c>
      <c r="B580" s="55" t="s">
        <v>452</v>
      </c>
      <c r="C580" s="55" t="s">
        <v>246</v>
      </c>
      <c r="D580" s="55" t="s">
        <v>453</v>
      </c>
      <c r="E580" s="55" t="s">
        <v>464</v>
      </c>
      <c r="F580" s="55" t="s">
        <v>209</v>
      </c>
      <c r="G580" s="55" t="s">
        <v>332</v>
      </c>
      <c r="H580" s="56">
        <v>13.31</v>
      </c>
    </row>
    <row r="581" spans="1:8" ht="14">
      <c r="A581" s="54" t="s">
        <v>292</v>
      </c>
      <c r="B581" s="55" t="s">
        <v>452</v>
      </c>
      <c r="C581" s="55" t="s">
        <v>246</v>
      </c>
      <c r="D581" s="55" t="s">
        <v>453</v>
      </c>
      <c r="E581" s="55" t="s">
        <v>464</v>
      </c>
      <c r="F581" s="55" t="s">
        <v>209</v>
      </c>
      <c r="G581" s="55" t="s">
        <v>458</v>
      </c>
      <c r="H581" s="56">
        <v>14.66</v>
      </c>
    </row>
    <row r="582" spans="1:8" ht="14">
      <c r="A582" s="54" t="s">
        <v>292</v>
      </c>
      <c r="B582" s="55" t="s">
        <v>452</v>
      </c>
      <c r="C582" s="55" t="s">
        <v>246</v>
      </c>
      <c r="D582" s="55" t="s">
        <v>453</v>
      </c>
      <c r="E582" s="55" t="s">
        <v>464</v>
      </c>
      <c r="F582" s="55" t="s">
        <v>209</v>
      </c>
      <c r="G582" s="55" t="s">
        <v>295</v>
      </c>
      <c r="H582" s="56">
        <v>13.81</v>
      </c>
    </row>
    <row r="583" spans="1:8" ht="14">
      <c r="A583" s="54" t="s">
        <v>292</v>
      </c>
      <c r="B583" s="55" t="s">
        <v>452</v>
      </c>
      <c r="C583" s="55" t="s">
        <v>246</v>
      </c>
      <c r="D583" s="55" t="s">
        <v>453</v>
      </c>
      <c r="E583" s="55" t="s">
        <v>464</v>
      </c>
      <c r="F583" s="55" t="s">
        <v>209</v>
      </c>
      <c r="G583" s="55" t="s">
        <v>295</v>
      </c>
      <c r="H583" s="56">
        <v>14.3</v>
      </c>
    </row>
    <row r="584" spans="1:8" ht="14">
      <c r="A584" s="54" t="s">
        <v>292</v>
      </c>
      <c r="B584" s="55" t="s">
        <v>452</v>
      </c>
      <c r="C584" s="55" t="s">
        <v>246</v>
      </c>
      <c r="D584" s="55" t="s">
        <v>453</v>
      </c>
      <c r="E584" s="55" t="s">
        <v>464</v>
      </c>
      <c r="F584" s="55" t="s">
        <v>209</v>
      </c>
      <c r="G584" s="55" t="s">
        <v>459</v>
      </c>
      <c r="H584" s="56">
        <v>16.27</v>
      </c>
    </row>
    <row r="585" spans="1:8" ht="14">
      <c r="A585" s="54" t="s">
        <v>292</v>
      </c>
      <c r="B585" s="55" t="s">
        <v>452</v>
      </c>
      <c r="C585" s="55" t="s">
        <v>246</v>
      </c>
      <c r="D585" s="55" t="s">
        <v>453</v>
      </c>
      <c r="E585" s="55" t="s">
        <v>464</v>
      </c>
      <c r="F585" s="55" t="s">
        <v>209</v>
      </c>
      <c r="G585" s="55" t="s">
        <v>460</v>
      </c>
      <c r="H585" s="56">
        <v>14.31</v>
      </c>
    </row>
    <row r="586" spans="1:8" ht="14">
      <c r="A586" s="54" t="s">
        <v>292</v>
      </c>
      <c r="B586" s="55" t="s">
        <v>452</v>
      </c>
      <c r="C586" s="55" t="s">
        <v>246</v>
      </c>
      <c r="D586" s="55" t="s">
        <v>453</v>
      </c>
      <c r="E586" s="55" t="s">
        <v>464</v>
      </c>
      <c r="F586" s="55" t="s">
        <v>209</v>
      </c>
      <c r="G586" s="55" t="s">
        <v>461</v>
      </c>
      <c r="H586" s="56">
        <v>14.66</v>
      </c>
    </row>
    <row r="587" spans="1:8" ht="14">
      <c r="A587" s="54" t="s">
        <v>292</v>
      </c>
      <c r="B587" s="55" t="s">
        <v>452</v>
      </c>
      <c r="C587" s="55" t="s">
        <v>246</v>
      </c>
      <c r="D587" s="55" t="s">
        <v>453</v>
      </c>
      <c r="E587" s="55" t="s">
        <v>464</v>
      </c>
      <c r="F587" s="55" t="s">
        <v>209</v>
      </c>
      <c r="G587" s="55" t="s">
        <v>346</v>
      </c>
      <c r="H587" s="56">
        <v>15.15</v>
      </c>
    </row>
    <row r="588" spans="1:8" ht="14">
      <c r="A588" s="54" t="s">
        <v>292</v>
      </c>
      <c r="B588" s="55" t="s">
        <v>452</v>
      </c>
      <c r="C588" s="55" t="s">
        <v>246</v>
      </c>
      <c r="D588" s="55" t="s">
        <v>453</v>
      </c>
      <c r="E588" s="55" t="s">
        <v>465</v>
      </c>
      <c r="F588" s="55" t="s">
        <v>209</v>
      </c>
      <c r="G588" s="55" t="s">
        <v>457</v>
      </c>
      <c r="H588" s="56">
        <v>13.98</v>
      </c>
    </row>
    <row r="589" spans="1:8" ht="14">
      <c r="A589" s="54" t="s">
        <v>292</v>
      </c>
      <c r="B589" s="55" t="s">
        <v>452</v>
      </c>
      <c r="C589" s="55" t="s">
        <v>246</v>
      </c>
      <c r="D589" s="55" t="s">
        <v>453</v>
      </c>
      <c r="E589" s="55" t="s">
        <v>465</v>
      </c>
      <c r="F589" s="55" t="s">
        <v>209</v>
      </c>
      <c r="G589" s="55" t="s">
        <v>257</v>
      </c>
      <c r="H589" s="56">
        <v>13.98</v>
      </c>
    </row>
    <row r="590" spans="1:8" ht="14">
      <c r="A590" s="54" t="s">
        <v>292</v>
      </c>
      <c r="B590" s="55" t="s">
        <v>452</v>
      </c>
      <c r="C590" s="55" t="s">
        <v>246</v>
      </c>
      <c r="D590" s="55" t="s">
        <v>453</v>
      </c>
      <c r="E590" s="55" t="s">
        <v>465</v>
      </c>
      <c r="F590" s="55" t="s">
        <v>209</v>
      </c>
      <c r="G590" s="55" t="s">
        <v>460</v>
      </c>
      <c r="H590" s="56">
        <v>13.98</v>
      </c>
    </row>
    <row r="591" spans="1:8" ht="14">
      <c r="A591" s="54" t="s">
        <v>292</v>
      </c>
      <c r="B591" s="55" t="s">
        <v>452</v>
      </c>
      <c r="C591" s="55" t="s">
        <v>246</v>
      </c>
      <c r="D591" s="55" t="s">
        <v>453</v>
      </c>
      <c r="E591" s="55" t="s">
        <v>465</v>
      </c>
      <c r="F591" s="55" t="s">
        <v>209</v>
      </c>
      <c r="G591" s="55" t="s">
        <v>461</v>
      </c>
      <c r="H591" s="56">
        <v>13.98</v>
      </c>
    </row>
    <row r="592" spans="1:8" ht="14">
      <c r="A592" s="54" t="s">
        <v>292</v>
      </c>
      <c r="B592" s="55" t="s">
        <v>452</v>
      </c>
      <c r="C592" s="55" t="s">
        <v>246</v>
      </c>
      <c r="D592" s="55" t="s">
        <v>453</v>
      </c>
      <c r="E592" s="55" t="s">
        <v>465</v>
      </c>
      <c r="F592" s="55" t="s">
        <v>209</v>
      </c>
      <c r="G592" s="55" t="s">
        <v>346</v>
      </c>
      <c r="H592" s="56">
        <v>14.47</v>
      </c>
    </row>
    <row r="593" spans="1:8" ht="14">
      <c r="A593" s="54" t="s">
        <v>292</v>
      </c>
      <c r="B593" s="55" t="s">
        <v>452</v>
      </c>
      <c r="C593" s="55" t="s">
        <v>246</v>
      </c>
      <c r="D593" s="55" t="s">
        <v>453</v>
      </c>
      <c r="E593" s="55" t="s">
        <v>466</v>
      </c>
      <c r="F593" s="55" t="s">
        <v>209</v>
      </c>
      <c r="G593" s="55" t="s">
        <v>457</v>
      </c>
      <c r="H593" s="56">
        <v>16.87</v>
      </c>
    </row>
    <row r="594" spans="1:8" ht="14">
      <c r="A594" s="54" t="s">
        <v>292</v>
      </c>
      <c r="B594" s="55" t="s">
        <v>452</v>
      </c>
      <c r="C594" s="55" t="s">
        <v>246</v>
      </c>
      <c r="D594" s="55" t="s">
        <v>453</v>
      </c>
      <c r="E594" s="55" t="s">
        <v>466</v>
      </c>
      <c r="F594" s="55" t="s">
        <v>209</v>
      </c>
      <c r="G594" s="55" t="s">
        <v>257</v>
      </c>
      <c r="H594" s="56">
        <v>16.87</v>
      </c>
    </row>
    <row r="595" spans="1:8" ht="14">
      <c r="A595" s="54" t="s">
        <v>292</v>
      </c>
      <c r="B595" s="55" t="s">
        <v>452</v>
      </c>
      <c r="C595" s="55" t="s">
        <v>246</v>
      </c>
      <c r="D595" s="55" t="s">
        <v>453</v>
      </c>
      <c r="E595" s="55" t="s">
        <v>466</v>
      </c>
      <c r="F595" s="55" t="s">
        <v>209</v>
      </c>
      <c r="G595" s="55" t="s">
        <v>460</v>
      </c>
      <c r="H595" s="56">
        <v>16.87</v>
      </c>
    </row>
    <row r="596" spans="1:8" ht="14">
      <c r="A596" s="54" t="s">
        <v>292</v>
      </c>
      <c r="B596" s="55" t="s">
        <v>452</v>
      </c>
      <c r="C596" s="55" t="s">
        <v>246</v>
      </c>
      <c r="D596" s="55" t="s">
        <v>453</v>
      </c>
      <c r="E596" s="55" t="s">
        <v>466</v>
      </c>
      <c r="F596" s="55" t="s">
        <v>209</v>
      </c>
      <c r="G596" s="55" t="s">
        <v>461</v>
      </c>
      <c r="H596" s="56">
        <v>16.87</v>
      </c>
    </row>
    <row r="597" spans="1:8" ht="14">
      <c r="A597" s="54" t="s">
        <v>292</v>
      </c>
      <c r="B597" s="55" t="s">
        <v>452</v>
      </c>
      <c r="C597" s="55" t="s">
        <v>246</v>
      </c>
      <c r="D597" s="55" t="s">
        <v>453</v>
      </c>
      <c r="E597" s="55" t="s">
        <v>466</v>
      </c>
      <c r="F597" s="55" t="s">
        <v>209</v>
      </c>
      <c r="G597" s="55" t="s">
        <v>346</v>
      </c>
      <c r="H597" s="56">
        <v>17.350000000000001</v>
      </c>
    </row>
    <row r="598" spans="1:8" ht="14">
      <c r="A598" s="54" t="s">
        <v>292</v>
      </c>
      <c r="B598" s="55" t="s">
        <v>452</v>
      </c>
      <c r="C598" s="55" t="s">
        <v>246</v>
      </c>
      <c r="D598" s="55" t="s">
        <v>453</v>
      </c>
      <c r="E598" s="55" t="s">
        <v>467</v>
      </c>
      <c r="F598" s="55" t="s">
        <v>209</v>
      </c>
      <c r="G598" s="55" t="s">
        <v>457</v>
      </c>
      <c r="H598" s="56">
        <v>16.579999999999998</v>
      </c>
    </row>
    <row r="599" spans="1:8" ht="14">
      <c r="A599" s="54" t="s">
        <v>292</v>
      </c>
      <c r="B599" s="55" t="s">
        <v>452</v>
      </c>
      <c r="C599" s="55" t="s">
        <v>246</v>
      </c>
      <c r="D599" s="55" t="s">
        <v>453</v>
      </c>
      <c r="E599" s="55" t="s">
        <v>467</v>
      </c>
      <c r="F599" s="55" t="s">
        <v>209</v>
      </c>
      <c r="G599" s="55" t="s">
        <v>257</v>
      </c>
      <c r="H599" s="56">
        <v>16.579999999999998</v>
      </c>
    </row>
    <row r="600" spans="1:8" ht="14">
      <c r="A600" s="54" t="s">
        <v>292</v>
      </c>
      <c r="B600" s="55" t="s">
        <v>452</v>
      </c>
      <c r="C600" s="55" t="s">
        <v>246</v>
      </c>
      <c r="D600" s="55" t="s">
        <v>453</v>
      </c>
      <c r="E600" s="55" t="s">
        <v>467</v>
      </c>
      <c r="F600" s="55" t="s">
        <v>209</v>
      </c>
      <c r="G600" s="55" t="s">
        <v>460</v>
      </c>
      <c r="H600" s="56">
        <v>16.579999999999998</v>
      </c>
    </row>
    <row r="601" spans="1:8" ht="14">
      <c r="A601" s="54" t="s">
        <v>292</v>
      </c>
      <c r="B601" s="55" t="s">
        <v>452</v>
      </c>
      <c r="C601" s="55" t="s">
        <v>246</v>
      </c>
      <c r="D601" s="55" t="s">
        <v>453</v>
      </c>
      <c r="E601" s="55" t="s">
        <v>467</v>
      </c>
      <c r="F601" s="55" t="s">
        <v>209</v>
      </c>
      <c r="G601" s="55" t="s">
        <v>461</v>
      </c>
      <c r="H601" s="56">
        <v>16.579999999999998</v>
      </c>
    </row>
    <row r="602" spans="1:8" ht="14">
      <c r="A602" s="54" t="s">
        <v>292</v>
      </c>
      <c r="B602" s="55" t="s">
        <v>452</v>
      </c>
      <c r="C602" s="55" t="s">
        <v>246</v>
      </c>
      <c r="D602" s="55" t="s">
        <v>453</v>
      </c>
      <c r="E602" s="55" t="s">
        <v>467</v>
      </c>
      <c r="F602" s="55" t="s">
        <v>209</v>
      </c>
      <c r="G602" s="55" t="s">
        <v>346</v>
      </c>
      <c r="H602" s="56">
        <v>17.07</v>
      </c>
    </row>
    <row r="603" spans="1:8" ht="14">
      <c r="A603" s="54" t="s">
        <v>292</v>
      </c>
      <c r="B603" s="55" t="s">
        <v>452</v>
      </c>
      <c r="C603" s="55" t="s">
        <v>246</v>
      </c>
      <c r="D603" s="55" t="s">
        <v>453</v>
      </c>
      <c r="E603" s="55" t="s">
        <v>468</v>
      </c>
      <c r="F603" s="55" t="s">
        <v>209</v>
      </c>
      <c r="G603" s="55" t="s">
        <v>457</v>
      </c>
      <c r="H603" s="56">
        <v>16.87</v>
      </c>
    </row>
    <row r="604" spans="1:8" ht="14">
      <c r="A604" s="54" t="s">
        <v>292</v>
      </c>
      <c r="B604" s="55" t="s">
        <v>452</v>
      </c>
      <c r="C604" s="55" t="s">
        <v>246</v>
      </c>
      <c r="D604" s="55" t="s">
        <v>453</v>
      </c>
      <c r="E604" s="55" t="s">
        <v>468</v>
      </c>
      <c r="F604" s="55" t="s">
        <v>209</v>
      </c>
      <c r="G604" s="55" t="s">
        <v>257</v>
      </c>
      <c r="H604" s="56">
        <v>16.87</v>
      </c>
    </row>
    <row r="605" spans="1:8" ht="14">
      <c r="A605" s="54" t="s">
        <v>292</v>
      </c>
      <c r="B605" s="55" t="s">
        <v>452</v>
      </c>
      <c r="C605" s="55" t="s">
        <v>246</v>
      </c>
      <c r="D605" s="55" t="s">
        <v>453</v>
      </c>
      <c r="E605" s="55" t="s">
        <v>468</v>
      </c>
      <c r="F605" s="55" t="s">
        <v>209</v>
      </c>
      <c r="G605" s="55" t="s">
        <v>460</v>
      </c>
      <c r="H605" s="56">
        <v>16.87</v>
      </c>
    </row>
    <row r="606" spans="1:8" ht="14">
      <c r="A606" s="54" t="s">
        <v>292</v>
      </c>
      <c r="B606" s="55" t="s">
        <v>452</v>
      </c>
      <c r="C606" s="55" t="s">
        <v>246</v>
      </c>
      <c r="D606" s="55" t="s">
        <v>453</v>
      </c>
      <c r="E606" s="55" t="s">
        <v>468</v>
      </c>
      <c r="F606" s="55" t="s">
        <v>209</v>
      </c>
      <c r="G606" s="55" t="s">
        <v>461</v>
      </c>
      <c r="H606" s="56">
        <v>16.87</v>
      </c>
    </row>
    <row r="607" spans="1:8" ht="14">
      <c r="A607" s="54" t="s">
        <v>292</v>
      </c>
      <c r="B607" s="55" t="s">
        <v>452</v>
      </c>
      <c r="C607" s="55" t="s">
        <v>246</v>
      </c>
      <c r="D607" s="55" t="s">
        <v>453</v>
      </c>
      <c r="E607" s="55" t="s">
        <v>468</v>
      </c>
      <c r="F607" s="55" t="s">
        <v>209</v>
      </c>
      <c r="G607" s="55" t="s">
        <v>346</v>
      </c>
      <c r="H607" s="56">
        <v>17.350000000000001</v>
      </c>
    </row>
    <row r="608" spans="1:8" ht="14">
      <c r="A608" s="54" t="s">
        <v>292</v>
      </c>
      <c r="B608" s="55" t="s">
        <v>452</v>
      </c>
      <c r="C608" s="55" t="s">
        <v>246</v>
      </c>
      <c r="D608" s="55" t="s">
        <v>453</v>
      </c>
      <c r="E608" s="55" t="s">
        <v>469</v>
      </c>
      <c r="F608" s="55" t="s">
        <v>209</v>
      </c>
      <c r="G608" s="55" t="s">
        <v>457</v>
      </c>
      <c r="H608" s="56">
        <v>11.23</v>
      </c>
    </row>
    <row r="609" spans="1:8" ht="14">
      <c r="A609" s="54" t="s">
        <v>292</v>
      </c>
      <c r="B609" s="55" t="s">
        <v>452</v>
      </c>
      <c r="C609" s="55" t="s">
        <v>246</v>
      </c>
      <c r="D609" s="55" t="s">
        <v>453</v>
      </c>
      <c r="E609" s="55" t="s">
        <v>469</v>
      </c>
      <c r="F609" s="55" t="s">
        <v>209</v>
      </c>
      <c r="G609" s="55" t="s">
        <v>257</v>
      </c>
      <c r="H609" s="56">
        <v>11.23</v>
      </c>
    </row>
    <row r="610" spans="1:8" ht="14">
      <c r="A610" s="54" t="s">
        <v>292</v>
      </c>
      <c r="B610" s="55" t="s">
        <v>452</v>
      </c>
      <c r="C610" s="55" t="s">
        <v>246</v>
      </c>
      <c r="D610" s="55" t="s">
        <v>453</v>
      </c>
      <c r="E610" s="55" t="s">
        <v>469</v>
      </c>
      <c r="F610" s="55" t="s">
        <v>209</v>
      </c>
      <c r="G610" s="55" t="s">
        <v>460</v>
      </c>
      <c r="H610" s="56">
        <v>11.23</v>
      </c>
    </row>
    <row r="611" spans="1:8" ht="14">
      <c r="A611" s="54" t="s">
        <v>292</v>
      </c>
      <c r="B611" s="55" t="s">
        <v>452</v>
      </c>
      <c r="C611" s="55" t="s">
        <v>246</v>
      </c>
      <c r="D611" s="55" t="s">
        <v>453</v>
      </c>
      <c r="E611" s="55" t="s">
        <v>469</v>
      </c>
      <c r="F611" s="55" t="s">
        <v>209</v>
      </c>
      <c r="G611" s="55" t="s">
        <v>461</v>
      </c>
      <c r="H611" s="56">
        <v>11.23</v>
      </c>
    </row>
    <row r="612" spans="1:8" ht="14">
      <c r="A612" s="54" t="s">
        <v>292</v>
      </c>
      <c r="B612" s="55" t="s">
        <v>452</v>
      </c>
      <c r="C612" s="55" t="s">
        <v>246</v>
      </c>
      <c r="D612" s="55" t="s">
        <v>453</v>
      </c>
      <c r="E612" s="55" t="s">
        <v>469</v>
      </c>
      <c r="F612" s="55" t="s">
        <v>209</v>
      </c>
      <c r="G612" s="55" t="s">
        <v>346</v>
      </c>
      <c r="H612" s="56">
        <v>11.71</v>
      </c>
    </row>
    <row r="613" spans="1:8" ht="14">
      <c r="A613" s="54" t="s">
        <v>292</v>
      </c>
      <c r="B613" s="55" t="s">
        <v>452</v>
      </c>
      <c r="C613" s="55" t="s">
        <v>246</v>
      </c>
      <c r="D613" s="55" t="s">
        <v>453</v>
      </c>
      <c r="E613" s="55" t="s">
        <v>470</v>
      </c>
      <c r="F613" s="55" t="s">
        <v>209</v>
      </c>
      <c r="G613" s="55" t="s">
        <v>457</v>
      </c>
      <c r="H613" s="56">
        <v>11.23</v>
      </c>
    </row>
    <row r="614" spans="1:8" ht="14">
      <c r="A614" s="54" t="s">
        <v>292</v>
      </c>
      <c r="B614" s="55" t="s">
        <v>452</v>
      </c>
      <c r="C614" s="55" t="s">
        <v>246</v>
      </c>
      <c r="D614" s="55" t="s">
        <v>453</v>
      </c>
      <c r="E614" s="55" t="s">
        <v>470</v>
      </c>
      <c r="F614" s="55" t="s">
        <v>209</v>
      </c>
      <c r="G614" s="55" t="s">
        <v>257</v>
      </c>
      <c r="H614" s="56">
        <v>11.23</v>
      </c>
    </row>
    <row r="615" spans="1:8" ht="14">
      <c r="A615" s="54" t="s">
        <v>292</v>
      </c>
      <c r="B615" s="55" t="s">
        <v>452</v>
      </c>
      <c r="C615" s="55" t="s">
        <v>246</v>
      </c>
      <c r="D615" s="55" t="s">
        <v>453</v>
      </c>
      <c r="E615" s="55" t="s">
        <v>470</v>
      </c>
      <c r="F615" s="55" t="s">
        <v>209</v>
      </c>
      <c r="G615" s="55" t="s">
        <v>460</v>
      </c>
      <c r="H615" s="56">
        <v>11.23</v>
      </c>
    </row>
    <row r="616" spans="1:8" ht="14">
      <c r="A616" s="54" t="s">
        <v>292</v>
      </c>
      <c r="B616" s="55" t="s">
        <v>452</v>
      </c>
      <c r="C616" s="55" t="s">
        <v>246</v>
      </c>
      <c r="D616" s="55" t="s">
        <v>453</v>
      </c>
      <c r="E616" s="55" t="s">
        <v>470</v>
      </c>
      <c r="F616" s="55" t="s">
        <v>209</v>
      </c>
      <c r="G616" s="55" t="s">
        <v>461</v>
      </c>
      <c r="H616" s="56">
        <v>11.23</v>
      </c>
    </row>
    <row r="617" spans="1:8" ht="14">
      <c r="A617" s="54" t="s">
        <v>292</v>
      </c>
      <c r="B617" s="55" t="s">
        <v>452</v>
      </c>
      <c r="C617" s="55" t="s">
        <v>246</v>
      </c>
      <c r="D617" s="55" t="s">
        <v>453</v>
      </c>
      <c r="E617" s="55" t="s">
        <v>470</v>
      </c>
      <c r="F617" s="55" t="s">
        <v>209</v>
      </c>
      <c r="G617" s="55" t="s">
        <v>346</v>
      </c>
      <c r="H617" s="56">
        <v>11.71</v>
      </c>
    </row>
    <row r="618" spans="1:8" ht="14">
      <c r="A618" s="54" t="s">
        <v>292</v>
      </c>
      <c r="B618" s="55" t="s">
        <v>452</v>
      </c>
      <c r="C618" s="55" t="s">
        <v>246</v>
      </c>
      <c r="D618" s="55" t="s">
        <v>453</v>
      </c>
      <c r="E618" s="55" t="s">
        <v>471</v>
      </c>
      <c r="F618" s="55" t="s">
        <v>209</v>
      </c>
      <c r="G618" s="55" t="s">
        <v>457</v>
      </c>
      <c r="H618" s="56">
        <v>16.87</v>
      </c>
    </row>
    <row r="619" spans="1:8" ht="14">
      <c r="A619" s="54" t="s">
        <v>292</v>
      </c>
      <c r="B619" s="55" t="s">
        <v>452</v>
      </c>
      <c r="C619" s="55" t="s">
        <v>246</v>
      </c>
      <c r="D619" s="55" t="s">
        <v>453</v>
      </c>
      <c r="E619" s="55" t="s">
        <v>471</v>
      </c>
      <c r="F619" s="55" t="s">
        <v>209</v>
      </c>
      <c r="G619" s="55" t="s">
        <v>257</v>
      </c>
      <c r="H619" s="56">
        <v>16.87</v>
      </c>
    </row>
    <row r="620" spans="1:8" ht="14">
      <c r="A620" s="54" t="s">
        <v>292</v>
      </c>
      <c r="B620" s="55" t="s">
        <v>452</v>
      </c>
      <c r="C620" s="55" t="s">
        <v>246</v>
      </c>
      <c r="D620" s="55" t="s">
        <v>453</v>
      </c>
      <c r="E620" s="55" t="s">
        <v>471</v>
      </c>
      <c r="F620" s="55" t="s">
        <v>209</v>
      </c>
      <c r="G620" s="55" t="s">
        <v>460</v>
      </c>
      <c r="H620" s="56">
        <v>16.87</v>
      </c>
    </row>
    <row r="621" spans="1:8" ht="14">
      <c r="A621" s="54" t="s">
        <v>292</v>
      </c>
      <c r="B621" s="55" t="s">
        <v>452</v>
      </c>
      <c r="C621" s="55" t="s">
        <v>246</v>
      </c>
      <c r="D621" s="55" t="s">
        <v>453</v>
      </c>
      <c r="E621" s="55" t="s">
        <v>471</v>
      </c>
      <c r="F621" s="55" t="s">
        <v>209</v>
      </c>
      <c r="G621" s="55" t="s">
        <v>461</v>
      </c>
      <c r="H621" s="56">
        <v>16.87</v>
      </c>
    </row>
    <row r="622" spans="1:8" ht="14">
      <c r="A622" s="54" t="s">
        <v>292</v>
      </c>
      <c r="B622" s="55" t="s">
        <v>452</v>
      </c>
      <c r="C622" s="55" t="s">
        <v>246</v>
      </c>
      <c r="D622" s="55" t="s">
        <v>453</v>
      </c>
      <c r="E622" s="55" t="s">
        <v>471</v>
      </c>
      <c r="F622" s="55" t="s">
        <v>209</v>
      </c>
      <c r="G622" s="55" t="s">
        <v>346</v>
      </c>
      <c r="H622" s="56">
        <v>17.350000000000001</v>
      </c>
    </row>
    <row r="623" spans="1:8" ht="14">
      <c r="A623" s="54" t="s">
        <v>292</v>
      </c>
      <c r="B623" s="55" t="s">
        <v>452</v>
      </c>
      <c r="C623" s="55" t="s">
        <v>246</v>
      </c>
      <c r="D623" s="55" t="s">
        <v>453</v>
      </c>
      <c r="E623" s="55" t="s">
        <v>472</v>
      </c>
      <c r="F623" s="55" t="s">
        <v>209</v>
      </c>
      <c r="G623" s="55" t="s">
        <v>334</v>
      </c>
      <c r="H623" s="56">
        <v>10.77</v>
      </c>
    </row>
    <row r="624" spans="1:8" ht="14">
      <c r="A624" s="54" t="s">
        <v>292</v>
      </c>
      <c r="B624" s="55" t="s">
        <v>452</v>
      </c>
      <c r="C624" s="55" t="s">
        <v>246</v>
      </c>
      <c r="D624" s="55" t="s">
        <v>453</v>
      </c>
      <c r="E624" s="55" t="s">
        <v>472</v>
      </c>
      <c r="F624" s="55" t="s">
        <v>209</v>
      </c>
      <c r="G624" s="55" t="s">
        <v>332</v>
      </c>
      <c r="H624" s="56">
        <v>10.07</v>
      </c>
    </row>
    <row r="625" spans="1:8" ht="14">
      <c r="A625" s="54" t="s">
        <v>292</v>
      </c>
      <c r="B625" s="55" t="s">
        <v>452</v>
      </c>
      <c r="C625" s="55" t="s">
        <v>246</v>
      </c>
      <c r="D625" s="55" t="s">
        <v>453</v>
      </c>
      <c r="E625" s="55" t="s">
        <v>472</v>
      </c>
      <c r="F625" s="55" t="s">
        <v>209</v>
      </c>
      <c r="G625" s="55" t="s">
        <v>332</v>
      </c>
      <c r="H625" s="56">
        <v>10.55</v>
      </c>
    </row>
    <row r="626" spans="1:8" ht="14">
      <c r="A626" s="54" t="s">
        <v>292</v>
      </c>
      <c r="B626" s="55" t="s">
        <v>452</v>
      </c>
      <c r="C626" s="55" t="s">
        <v>246</v>
      </c>
      <c r="D626" s="55" t="s">
        <v>453</v>
      </c>
      <c r="E626" s="55" t="s">
        <v>472</v>
      </c>
      <c r="F626" s="55" t="s">
        <v>209</v>
      </c>
      <c r="G626" s="55" t="s">
        <v>295</v>
      </c>
      <c r="H626" s="56">
        <v>10.41</v>
      </c>
    </row>
    <row r="627" spans="1:8" ht="14">
      <c r="A627" s="54" t="s">
        <v>292</v>
      </c>
      <c r="B627" s="55" t="s">
        <v>452</v>
      </c>
      <c r="C627" s="55" t="s">
        <v>246</v>
      </c>
      <c r="D627" s="55" t="s">
        <v>453</v>
      </c>
      <c r="E627" s="55" t="s">
        <v>472</v>
      </c>
      <c r="F627" s="55" t="s">
        <v>209</v>
      </c>
      <c r="G627" s="55" t="s">
        <v>295</v>
      </c>
      <c r="H627" s="56">
        <v>10.89</v>
      </c>
    </row>
    <row r="628" spans="1:8" ht="14">
      <c r="A628" s="54" t="s">
        <v>292</v>
      </c>
      <c r="B628" s="55" t="s">
        <v>452</v>
      </c>
      <c r="C628" s="55" t="s">
        <v>246</v>
      </c>
      <c r="D628" s="55" t="s">
        <v>453</v>
      </c>
      <c r="E628" s="55" t="s">
        <v>473</v>
      </c>
      <c r="F628" s="55" t="s">
        <v>209</v>
      </c>
      <c r="G628" s="55" t="s">
        <v>334</v>
      </c>
      <c r="H628" s="56">
        <v>10.77</v>
      </c>
    </row>
    <row r="629" spans="1:8" ht="14">
      <c r="A629" s="54" t="s">
        <v>292</v>
      </c>
      <c r="B629" s="55" t="s">
        <v>452</v>
      </c>
      <c r="C629" s="55" t="s">
        <v>246</v>
      </c>
      <c r="D629" s="55" t="s">
        <v>453</v>
      </c>
      <c r="E629" s="55" t="s">
        <v>473</v>
      </c>
      <c r="F629" s="55" t="s">
        <v>209</v>
      </c>
      <c r="G629" s="55" t="s">
        <v>332</v>
      </c>
      <c r="H629" s="56">
        <v>10.07</v>
      </c>
    </row>
    <row r="630" spans="1:8" ht="14">
      <c r="A630" s="54" t="s">
        <v>292</v>
      </c>
      <c r="B630" s="55" t="s">
        <v>452</v>
      </c>
      <c r="C630" s="55" t="s">
        <v>246</v>
      </c>
      <c r="D630" s="55" t="s">
        <v>453</v>
      </c>
      <c r="E630" s="55" t="s">
        <v>473</v>
      </c>
      <c r="F630" s="55" t="s">
        <v>209</v>
      </c>
      <c r="G630" s="55" t="s">
        <v>332</v>
      </c>
      <c r="H630" s="56">
        <v>10.55</v>
      </c>
    </row>
    <row r="631" spans="1:8" ht="14">
      <c r="A631" s="54" t="s">
        <v>292</v>
      </c>
      <c r="B631" s="55" t="s">
        <v>452</v>
      </c>
      <c r="C631" s="55" t="s">
        <v>246</v>
      </c>
      <c r="D631" s="55" t="s">
        <v>453</v>
      </c>
      <c r="E631" s="55" t="s">
        <v>473</v>
      </c>
      <c r="F631" s="55" t="s">
        <v>209</v>
      </c>
      <c r="G631" s="55" t="s">
        <v>295</v>
      </c>
      <c r="H631" s="56">
        <v>10.41</v>
      </c>
    </row>
    <row r="632" spans="1:8" ht="14">
      <c r="A632" s="54" t="s">
        <v>292</v>
      </c>
      <c r="B632" s="55" t="s">
        <v>452</v>
      </c>
      <c r="C632" s="55" t="s">
        <v>246</v>
      </c>
      <c r="D632" s="55" t="s">
        <v>453</v>
      </c>
      <c r="E632" s="55" t="s">
        <v>473</v>
      </c>
      <c r="F632" s="55" t="s">
        <v>209</v>
      </c>
      <c r="G632" s="55" t="s">
        <v>295</v>
      </c>
      <c r="H632" s="56">
        <v>10.89</v>
      </c>
    </row>
    <row r="633" spans="1:8" ht="14">
      <c r="A633" s="54" t="s">
        <v>292</v>
      </c>
      <c r="B633" s="55" t="s">
        <v>452</v>
      </c>
      <c r="C633" s="55" t="s">
        <v>246</v>
      </c>
      <c r="D633" s="55" t="s">
        <v>453</v>
      </c>
      <c r="E633" s="55" t="s">
        <v>474</v>
      </c>
      <c r="F633" s="55" t="s">
        <v>209</v>
      </c>
      <c r="G633" s="55" t="s">
        <v>334</v>
      </c>
      <c r="H633" s="56">
        <v>10.77</v>
      </c>
    </row>
    <row r="634" spans="1:8" ht="14">
      <c r="A634" s="54" t="s">
        <v>292</v>
      </c>
      <c r="B634" s="55" t="s">
        <v>452</v>
      </c>
      <c r="C634" s="55" t="s">
        <v>246</v>
      </c>
      <c r="D634" s="55" t="s">
        <v>453</v>
      </c>
      <c r="E634" s="55" t="s">
        <v>474</v>
      </c>
      <c r="F634" s="55" t="s">
        <v>209</v>
      </c>
      <c r="G634" s="55" t="s">
        <v>332</v>
      </c>
      <c r="H634" s="56">
        <v>10.07</v>
      </c>
    </row>
    <row r="635" spans="1:8" ht="14">
      <c r="A635" s="54" t="s">
        <v>292</v>
      </c>
      <c r="B635" s="55" t="s">
        <v>452</v>
      </c>
      <c r="C635" s="55" t="s">
        <v>246</v>
      </c>
      <c r="D635" s="55" t="s">
        <v>453</v>
      </c>
      <c r="E635" s="55" t="s">
        <v>474</v>
      </c>
      <c r="F635" s="55" t="s">
        <v>209</v>
      </c>
      <c r="G635" s="55" t="s">
        <v>332</v>
      </c>
      <c r="H635" s="56">
        <v>10.55</v>
      </c>
    </row>
    <row r="636" spans="1:8" ht="14">
      <c r="A636" s="54" t="s">
        <v>292</v>
      </c>
      <c r="B636" s="55" t="s">
        <v>452</v>
      </c>
      <c r="C636" s="55" t="s">
        <v>246</v>
      </c>
      <c r="D636" s="55" t="s">
        <v>453</v>
      </c>
      <c r="E636" s="55" t="s">
        <v>474</v>
      </c>
      <c r="F636" s="55" t="s">
        <v>209</v>
      </c>
      <c r="G636" s="55" t="s">
        <v>295</v>
      </c>
      <c r="H636" s="56">
        <v>10.41</v>
      </c>
    </row>
    <row r="637" spans="1:8" ht="14">
      <c r="A637" s="54" t="s">
        <v>292</v>
      </c>
      <c r="B637" s="55" t="s">
        <v>452</v>
      </c>
      <c r="C637" s="55" t="s">
        <v>246</v>
      </c>
      <c r="D637" s="55" t="s">
        <v>453</v>
      </c>
      <c r="E637" s="55" t="s">
        <v>474</v>
      </c>
      <c r="F637" s="55" t="s">
        <v>209</v>
      </c>
      <c r="G637" s="55" t="s">
        <v>295</v>
      </c>
      <c r="H637" s="56">
        <v>10.89</v>
      </c>
    </row>
    <row r="638" spans="1:8" ht="14">
      <c r="A638" s="54" t="s">
        <v>292</v>
      </c>
      <c r="B638" s="55" t="s">
        <v>452</v>
      </c>
      <c r="C638" s="55" t="s">
        <v>246</v>
      </c>
      <c r="D638" s="55" t="s">
        <v>453</v>
      </c>
      <c r="E638" s="55" t="s">
        <v>475</v>
      </c>
      <c r="F638" s="55" t="s">
        <v>209</v>
      </c>
      <c r="G638" s="55" t="s">
        <v>362</v>
      </c>
      <c r="H638" s="56">
        <v>12.71</v>
      </c>
    </row>
    <row r="639" spans="1:8" ht="14">
      <c r="A639" s="54" t="s">
        <v>292</v>
      </c>
      <c r="B639" s="55" t="s">
        <v>452</v>
      </c>
      <c r="C639" s="55" t="s">
        <v>246</v>
      </c>
      <c r="D639" s="55" t="s">
        <v>453</v>
      </c>
      <c r="E639" s="55" t="s">
        <v>475</v>
      </c>
      <c r="F639" s="55" t="s">
        <v>209</v>
      </c>
      <c r="G639" s="55" t="s">
        <v>457</v>
      </c>
      <c r="H639" s="56">
        <v>13.3</v>
      </c>
    </row>
    <row r="640" spans="1:8" ht="14">
      <c r="A640" s="54" t="s">
        <v>292</v>
      </c>
      <c r="B640" s="55" t="s">
        <v>452</v>
      </c>
      <c r="C640" s="55" t="s">
        <v>246</v>
      </c>
      <c r="D640" s="55" t="s">
        <v>453</v>
      </c>
      <c r="E640" s="55" t="s">
        <v>475</v>
      </c>
      <c r="F640" s="55" t="s">
        <v>209</v>
      </c>
      <c r="G640" s="55" t="s">
        <v>334</v>
      </c>
      <c r="H640" s="56">
        <v>10.07</v>
      </c>
    </row>
    <row r="641" spans="1:8" ht="14">
      <c r="A641" s="54" t="s">
        <v>292</v>
      </c>
      <c r="B641" s="55" t="s">
        <v>452</v>
      </c>
      <c r="C641" s="55" t="s">
        <v>246</v>
      </c>
      <c r="D641" s="55" t="s">
        <v>453</v>
      </c>
      <c r="E641" s="55" t="s">
        <v>475</v>
      </c>
      <c r="F641" s="55" t="s">
        <v>209</v>
      </c>
      <c r="G641" s="55" t="s">
        <v>332</v>
      </c>
      <c r="H641" s="56">
        <v>9.7100000000000009</v>
      </c>
    </row>
    <row r="642" spans="1:8" ht="14">
      <c r="A642" s="54" t="s">
        <v>292</v>
      </c>
      <c r="B642" s="55" t="s">
        <v>452</v>
      </c>
      <c r="C642" s="55" t="s">
        <v>246</v>
      </c>
      <c r="D642" s="55" t="s">
        <v>453</v>
      </c>
      <c r="E642" s="55" t="s">
        <v>475</v>
      </c>
      <c r="F642" s="55" t="s">
        <v>209</v>
      </c>
      <c r="G642" s="55" t="s">
        <v>332</v>
      </c>
      <c r="H642" s="56">
        <v>10.199999999999999</v>
      </c>
    </row>
    <row r="643" spans="1:8" ht="14">
      <c r="A643" s="54" t="s">
        <v>292</v>
      </c>
      <c r="B643" s="55" t="s">
        <v>452</v>
      </c>
      <c r="C643" s="55" t="s">
        <v>246</v>
      </c>
      <c r="D643" s="55" t="s">
        <v>453</v>
      </c>
      <c r="E643" s="55" t="s">
        <v>475</v>
      </c>
      <c r="F643" s="55" t="s">
        <v>209</v>
      </c>
      <c r="G643" s="55" t="s">
        <v>295</v>
      </c>
      <c r="H643" s="56">
        <v>9.93</v>
      </c>
    </row>
    <row r="644" spans="1:8" ht="14">
      <c r="A644" s="54" t="s">
        <v>292</v>
      </c>
      <c r="B644" s="55" t="s">
        <v>452</v>
      </c>
      <c r="C644" s="55" t="s">
        <v>246</v>
      </c>
      <c r="D644" s="55" t="s">
        <v>453</v>
      </c>
      <c r="E644" s="55" t="s">
        <v>475</v>
      </c>
      <c r="F644" s="55" t="s">
        <v>209</v>
      </c>
      <c r="G644" s="55" t="s">
        <v>295</v>
      </c>
      <c r="H644" s="56">
        <v>10.41</v>
      </c>
    </row>
    <row r="645" spans="1:8" ht="14">
      <c r="A645" s="54" t="s">
        <v>292</v>
      </c>
      <c r="B645" s="55" t="s">
        <v>452</v>
      </c>
      <c r="C645" s="55" t="s">
        <v>246</v>
      </c>
      <c r="D645" s="55" t="s">
        <v>453</v>
      </c>
      <c r="E645" s="55" t="s">
        <v>476</v>
      </c>
      <c r="F645" s="55" t="s">
        <v>209</v>
      </c>
      <c r="G645" s="55" t="s">
        <v>362</v>
      </c>
      <c r="H645" s="56">
        <v>12.71</v>
      </c>
    </row>
    <row r="646" spans="1:8" ht="14">
      <c r="A646" s="54" t="s">
        <v>292</v>
      </c>
      <c r="B646" s="55" t="s">
        <v>452</v>
      </c>
      <c r="C646" s="55" t="s">
        <v>246</v>
      </c>
      <c r="D646" s="55" t="s">
        <v>453</v>
      </c>
      <c r="E646" s="55" t="s">
        <v>476</v>
      </c>
      <c r="F646" s="55" t="s">
        <v>209</v>
      </c>
      <c r="G646" s="55" t="s">
        <v>457</v>
      </c>
      <c r="H646" s="56">
        <v>13.3</v>
      </c>
    </row>
    <row r="647" spans="1:8" ht="14">
      <c r="A647" s="54" t="s">
        <v>292</v>
      </c>
      <c r="B647" s="55" t="s">
        <v>452</v>
      </c>
      <c r="C647" s="55" t="s">
        <v>246</v>
      </c>
      <c r="D647" s="55" t="s">
        <v>453</v>
      </c>
      <c r="E647" s="55" t="s">
        <v>476</v>
      </c>
      <c r="F647" s="55" t="s">
        <v>209</v>
      </c>
      <c r="G647" s="55" t="s">
        <v>334</v>
      </c>
      <c r="H647" s="56">
        <v>10.07</v>
      </c>
    </row>
    <row r="648" spans="1:8" ht="14">
      <c r="A648" s="54" t="s">
        <v>292</v>
      </c>
      <c r="B648" s="55" t="s">
        <v>452</v>
      </c>
      <c r="C648" s="55" t="s">
        <v>246</v>
      </c>
      <c r="D648" s="55" t="s">
        <v>453</v>
      </c>
      <c r="E648" s="55" t="s">
        <v>476</v>
      </c>
      <c r="F648" s="55" t="s">
        <v>209</v>
      </c>
      <c r="G648" s="55" t="s">
        <v>332</v>
      </c>
      <c r="H648" s="56">
        <v>9.7100000000000009</v>
      </c>
    </row>
    <row r="649" spans="1:8" ht="14">
      <c r="A649" s="54" t="s">
        <v>292</v>
      </c>
      <c r="B649" s="55" t="s">
        <v>452</v>
      </c>
      <c r="C649" s="55" t="s">
        <v>246</v>
      </c>
      <c r="D649" s="55" t="s">
        <v>453</v>
      </c>
      <c r="E649" s="55" t="s">
        <v>476</v>
      </c>
      <c r="F649" s="55" t="s">
        <v>209</v>
      </c>
      <c r="G649" s="55" t="s">
        <v>332</v>
      </c>
      <c r="H649" s="56">
        <v>10.199999999999999</v>
      </c>
    </row>
    <row r="650" spans="1:8" ht="14">
      <c r="A650" s="54" t="s">
        <v>292</v>
      </c>
      <c r="B650" s="55" t="s">
        <v>452</v>
      </c>
      <c r="C650" s="55" t="s">
        <v>246</v>
      </c>
      <c r="D650" s="55" t="s">
        <v>453</v>
      </c>
      <c r="E650" s="55" t="s">
        <v>476</v>
      </c>
      <c r="F650" s="55" t="s">
        <v>209</v>
      </c>
      <c r="G650" s="55" t="s">
        <v>295</v>
      </c>
      <c r="H650" s="56">
        <v>9.93</v>
      </c>
    </row>
    <row r="651" spans="1:8" ht="14">
      <c r="A651" s="54" t="s">
        <v>292</v>
      </c>
      <c r="B651" s="55" t="s">
        <v>452</v>
      </c>
      <c r="C651" s="55" t="s">
        <v>246</v>
      </c>
      <c r="D651" s="55" t="s">
        <v>453</v>
      </c>
      <c r="E651" s="55" t="s">
        <v>476</v>
      </c>
      <c r="F651" s="55" t="s">
        <v>209</v>
      </c>
      <c r="G651" s="55" t="s">
        <v>295</v>
      </c>
      <c r="H651" s="56">
        <v>10.41</v>
      </c>
    </row>
    <row r="652" spans="1:8" ht="14">
      <c r="A652" s="54" t="s">
        <v>292</v>
      </c>
      <c r="B652" s="55" t="s">
        <v>452</v>
      </c>
      <c r="C652" s="55" t="s">
        <v>246</v>
      </c>
      <c r="D652" s="55" t="s">
        <v>453</v>
      </c>
      <c r="E652" s="55" t="s">
        <v>477</v>
      </c>
      <c r="F652" s="55" t="s">
        <v>209</v>
      </c>
      <c r="G652" s="55" t="s">
        <v>334</v>
      </c>
      <c r="H652" s="56">
        <v>11.83</v>
      </c>
    </row>
    <row r="653" spans="1:8" ht="14">
      <c r="A653" s="54" t="s">
        <v>292</v>
      </c>
      <c r="B653" s="55" t="s">
        <v>452</v>
      </c>
      <c r="C653" s="55" t="s">
        <v>246</v>
      </c>
      <c r="D653" s="55" t="s">
        <v>453</v>
      </c>
      <c r="E653" s="55" t="s">
        <v>477</v>
      </c>
      <c r="F653" s="55" t="s">
        <v>209</v>
      </c>
      <c r="G653" s="55" t="s">
        <v>332</v>
      </c>
      <c r="H653" s="56">
        <v>11.13</v>
      </c>
    </row>
    <row r="654" spans="1:8" ht="14">
      <c r="A654" s="54" t="s">
        <v>292</v>
      </c>
      <c r="B654" s="55" t="s">
        <v>452</v>
      </c>
      <c r="C654" s="55" t="s">
        <v>246</v>
      </c>
      <c r="D654" s="55" t="s">
        <v>453</v>
      </c>
      <c r="E654" s="55" t="s">
        <v>477</v>
      </c>
      <c r="F654" s="55" t="s">
        <v>209</v>
      </c>
      <c r="G654" s="55" t="s">
        <v>332</v>
      </c>
      <c r="H654" s="56">
        <v>11.61</v>
      </c>
    </row>
    <row r="655" spans="1:8" ht="14">
      <c r="A655" s="54" t="s">
        <v>292</v>
      </c>
      <c r="B655" s="55" t="s">
        <v>452</v>
      </c>
      <c r="C655" s="55" t="s">
        <v>246</v>
      </c>
      <c r="D655" s="55" t="s">
        <v>453</v>
      </c>
      <c r="E655" s="55" t="s">
        <v>477</v>
      </c>
      <c r="F655" s="55" t="s">
        <v>209</v>
      </c>
      <c r="G655" s="55" t="s">
        <v>295</v>
      </c>
      <c r="H655" s="56">
        <v>11.48</v>
      </c>
    </row>
    <row r="656" spans="1:8" ht="14">
      <c r="A656" s="54" t="s">
        <v>292</v>
      </c>
      <c r="B656" s="55" t="s">
        <v>452</v>
      </c>
      <c r="C656" s="55" t="s">
        <v>246</v>
      </c>
      <c r="D656" s="55" t="s">
        <v>453</v>
      </c>
      <c r="E656" s="55" t="s">
        <v>477</v>
      </c>
      <c r="F656" s="55" t="s">
        <v>209</v>
      </c>
      <c r="G656" s="55" t="s">
        <v>295</v>
      </c>
      <c r="H656" s="56">
        <v>11.97</v>
      </c>
    </row>
    <row r="657" spans="1:8" ht="14">
      <c r="A657" s="54" t="s">
        <v>292</v>
      </c>
      <c r="B657" s="55" t="s">
        <v>452</v>
      </c>
      <c r="C657" s="55" t="s">
        <v>246</v>
      </c>
      <c r="D657" s="55" t="s">
        <v>453</v>
      </c>
      <c r="E657" s="55" t="s">
        <v>478</v>
      </c>
      <c r="F657" s="55" t="s">
        <v>209</v>
      </c>
      <c r="G657" s="55" t="s">
        <v>334</v>
      </c>
      <c r="H657" s="56">
        <v>11.83</v>
      </c>
    </row>
    <row r="658" spans="1:8" ht="14">
      <c r="A658" s="54" t="s">
        <v>292</v>
      </c>
      <c r="B658" s="55" t="s">
        <v>452</v>
      </c>
      <c r="C658" s="55" t="s">
        <v>246</v>
      </c>
      <c r="D658" s="55" t="s">
        <v>453</v>
      </c>
      <c r="E658" s="55" t="s">
        <v>478</v>
      </c>
      <c r="F658" s="55" t="s">
        <v>209</v>
      </c>
      <c r="G658" s="55" t="s">
        <v>332</v>
      </c>
      <c r="H658" s="56">
        <v>11.13</v>
      </c>
    </row>
    <row r="659" spans="1:8" ht="14">
      <c r="A659" s="54" t="s">
        <v>292</v>
      </c>
      <c r="B659" s="55" t="s">
        <v>452</v>
      </c>
      <c r="C659" s="55" t="s">
        <v>246</v>
      </c>
      <c r="D659" s="55" t="s">
        <v>453</v>
      </c>
      <c r="E659" s="55" t="s">
        <v>478</v>
      </c>
      <c r="F659" s="55" t="s">
        <v>209</v>
      </c>
      <c r="G659" s="55" t="s">
        <v>332</v>
      </c>
      <c r="H659" s="56">
        <v>11.61</v>
      </c>
    </row>
    <row r="660" spans="1:8" ht="14">
      <c r="A660" s="54" t="s">
        <v>292</v>
      </c>
      <c r="B660" s="55" t="s">
        <v>452</v>
      </c>
      <c r="C660" s="55" t="s">
        <v>246</v>
      </c>
      <c r="D660" s="55" t="s">
        <v>453</v>
      </c>
      <c r="E660" s="55" t="s">
        <v>478</v>
      </c>
      <c r="F660" s="55" t="s">
        <v>209</v>
      </c>
      <c r="G660" s="55" t="s">
        <v>295</v>
      </c>
      <c r="H660" s="56">
        <v>11.48</v>
      </c>
    </row>
    <row r="661" spans="1:8" ht="14">
      <c r="A661" s="54" t="s">
        <v>292</v>
      </c>
      <c r="B661" s="55" t="s">
        <v>452</v>
      </c>
      <c r="C661" s="55" t="s">
        <v>246</v>
      </c>
      <c r="D661" s="55" t="s">
        <v>453</v>
      </c>
      <c r="E661" s="55" t="s">
        <v>478</v>
      </c>
      <c r="F661" s="55" t="s">
        <v>209</v>
      </c>
      <c r="G661" s="55" t="s">
        <v>295</v>
      </c>
      <c r="H661" s="56">
        <v>11.97</v>
      </c>
    </row>
    <row r="662" spans="1:8" ht="14">
      <c r="A662" s="54" t="s">
        <v>292</v>
      </c>
      <c r="B662" s="55" t="s">
        <v>452</v>
      </c>
      <c r="C662" s="55" t="s">
        <v>246</v>
      </c>
      <c r="D662" s="55" t="s">
        <v>453</v>
      </c>
      <c r="E662" s="55" t="s">
        <v>479</v>
      </c>
      <c r="F662" s="55" t="s">
        <v>209</v>
      </c>
      <c r="G662" s="55" t="s">
        <v>334</v>
      </c>
      <c r="H662" s="56">
        <v>11.83</v>
      </c>
    </row>
    <row r="663" spans="1:8" ht="14">
      <c r="A663" s="54" t="s">
        <v>292</v>
      </c>
      <c r="B663" s="55" t="s">
        <v>452</v>
      </c>
      <c r="C663" s="55" t="s">
        <v>246</v>
      </c>
      <c r="D663" s="55" t="s">
        <v>453</v>
      </c>
      <c r="E663" s="55" t="s">
        <v>479</v>
      </c>
      <c r="F663" s="55" t="s">
        <v>209</v>
      </c>
      <c r="G663" s="55" t="s">
        <v>332</v>
      </c>
      <c r="H663" s="56">
        <v>11.13</v>
      </c>
    </row>
    <row r="664" spans="1:8" ht="14">
      <c r="A664" s="54" t="s">
        <v>292</v>
      </c>
      <c r="B664" s="55" t="s">
        <v>452</v>
      </c>
      <c r="C664" s="55" t="s">
        <v>246</v>
      </c>
      <c r="D664" s="55" t="s">
        <v>453</v>
      </c>
      <c r="E664" s="55" t="s">
        <v>479</v>
      </c>
      <c r="F664" s="55" t="s">
        <v>209</v>
      </c>
      <c r="G664" s="55" t="s">
        <v>332</v>
      </c>
      <c r="H664" s="56">
        <v>11.61</v>
      </c>
    </row>
    <row r="665" spans="1:8" ht="14">
      <c r="A665" s="54" t="s">
        <v>292</v>
      </c>
      <c r="B665" s="55" t="s">
        <v>452</v>
      </c>
      <c r="C665" s="55" t="s">
        <v>246</v>
      </c>
      <c r="D665" s="55" t="s">
        <v>453</v>
      </c>
      <c r="E665" s="55" t="s">
        <v>479</v>
      </c>
      <c r="F665" s="55" t="s">
        <v>209</v>
      </c>
      <c r="G665" s="55" t="s">
        <v>295</v>
      </c>
      <c r="H665" s="56">
        <v>11.48</v>
      </c>
    </row>
    <row r="666" spans="1:8" ht="14">
      <c r="A666" s="54" t="s">
        <v>292</v>
      </c>
      <c r="B666" s="55" t="s">
        <v>452</v>
      </c>
      <c r="C666" s="55" t="s">
        <v>246</v>
      </c>
      <c r="D666" s="55" t="s">
        <v>453</v>
      </c>
      <c r="E666" s="55" t="s">
        <v>479</v>
      </c>
      <c r="F666" s="55" t="s">
        <v>209</v>
      </c>
      <c r="G666" s="55" t="s">
        <v>295</v>
      </c>
      <c r="H666" s="56">
        <v>11.97</v>
      </c>
    </row>
    <row r="667" spans="1:8" ht="14">
      <c r="A667" s="54" t="s">
        <v>292</v>
      </c>
      <c r="B667" s="55" t="s">
        <v>452</v>
      </c>
      <c r="C667" s="55" t="s">
        <v>246</v>
      </c>
      <c r="D667" s="55" t="s">
        <v>480</v>
      </c>
      <c r="E667" s="55" t="s">
        <v>481</v>
      </c>
      <c r="F667" s="55" t="s">
        <v>209</v>
      </c>
      <c r="G667" s="55" t="s">
        <v>362</v>
      </c>
      <c r="H667" s="56">
        <v>16.579999999999998</v>
      </c>
    </row>
    <row r="668" spans="1:8" ht="14">
      <c r="A668" s="54" t="s">
        <v>292</v>
      </c>
      <c r="B668" s="55" t="s">
        <v>452</v>
      </c>
      <c r="C668" s="55" t="s">
        <v>246</v>
      </c>
      <c r="D668" s="55" t="s">
        <v>480</v>
      </c>
      <c r="E668" s="55" t="s">
        <v>481</v>
      </c>
      <c r="F668" s="55" t="s">
        <v>209</v>
      </c>
      <c r="G668" s="55" t="s">
        <v>482</v>
      </c>
      <c r="H668" s="56">
        <v>23.08</v>
      </c>
    </row>
    <row r="669" spans="1:8" ht="14">
      <c r="A669" s="54" t="s">
        <v>292</v>
      </c>
      <c r="B669" s="55" t="s">
        <v>452</v>
      </c>
      <c r="C669" s="55" t="s">
        <v>246</v>
      </c>
      <c r="D669" s="55" t="s">
        <v>480</v>
      </c>
      <c r="E669" s="55" t="s">
        <v>481</v>
      </c>
      <c r="F669" s="55" t="s">
        <v>209</v>
      </c>
      <c r="G669" s="55" t="s">
        <v>483</v>
      </c>
      <c r="H669" s="56">
        <v>19.18</v>
      </c>
    </row>
    <row r="670" spans="1:8" ht="14">
      <c r="A670" s="54" t="s">
        <v>292</v>
      </c>
      <c r="B670" s="55" t="s">
        <v>452</v>
      </c>
      <c r="C670" s="55" t="s">
        <v>246</v>
      </c>
      <c r="D670" s="55" t="s">
        <v>480</v>
      </c>
      <c r="E670" s="55" t="s">
        <v>481</v>
      </c>
      <c r="F670" s="55" t="s">
        <v>209</v>
      </c>
      <c r="G670" s="55" t="s">
        <v>295</v>
      </c>
      <c r="H670" s="56">
        <v>15.15</v>
      </c>
    </row>
    <row r="671" spans="1:8" ht="14">
      <c r="A671" s="54" t="s">
        <v>292</v>
      </c>
      <c r="B671" s="55" t="s">
        <v>452</v>
      </c>
      <c r="C671" s="55" t="s">
        <v>246</v>
      </c>
      <c r="D671" s="55" t="s">
        <v>480</v>
      </c>
      <c r="E671" s="55" t="s">
        <v>484</v>
      </c>
      <c r="F671" s="55" t="s">
        <v>209</v>
      </c>
      <c r="G671" s="55" t="s">
        <v>362</v>
      </c>
      <c r="H671" s="56">
        <v>13.95</v>
      </c>
    </row>
    <row r="672" spans="1:8" ht="14">
      <c r="A672" s="54" t="s">
        <v>292</v>
      </c>
      <c r="B672" s="55" t="s">
        <v>452</v>
      </c>
      <c r="C672" s="55" t="s">
        <v>246</v>
      </c>
      <c r="D672" s="55" t="s">
        <v>480</v>
      </c>
      <c r="E672" s="55" t="s">
        <v>484</v>
      </c>
      <c r="F672" s="55" t="s">
        <v>209</v>
      </c>
      <c r="G672" s="55" t="s">
        <v>482</v>
      </c>
      <c r="H672" s="56">
        <v>21.78</v>
      </c>
    </row>
    <row r="673" spans="1:8" ht="14">
      <c r="A673" s="54" t="s">
        <v>292</v>
      </c>
      <c r="B673" s="55" t="s">
        <v>452</v>
      </c>
      <c r="C673" s="55" t="s">
        <v>246</v>
      </c>
      <c r="D673" s="55" t="s">
        <v>480</v>
      </c>
      <c r="E673" s="55" t="s">
        <v>484</v>
      </c>
      <c r="F673" s="55" t="s">
        <v>209</v>
      </c>
      <c r="G673" s="55" t="s">
        <v>483</v>
      </c>
      <c r="H673" s="56">
        <v>17.88</v>
      </c>
    </row>
    <row r="674" spans="1:8" ht="14">
      <c r="A674" s="54" t="s">
        <v>292</v>
      </c>
      <c r="B674" s="55" t="s">
        <v>452</v>
      </c>
      <c r="C674" s="55" t="s">
        <v>246</v>
      </c>
      <c r="D674" s="55" t="s">
        <v>480</v>
      </c>
      <c r="E674" s="55" t="s">
        <v>484</v>
      </c>
      <c r="F674" s="55" t="s">
        <v>209</v>
      </c>
      <c r="G674" s="55" t="s">
        <v>334</v>
      </c>
      <c r="H674" s="56">
        <v>16.07</v>
      </c>
    </row>
    <row r="675" spans="1:8" ht="14">
      <c r="A675" s="54" t="s">
        <v>292</v>
      </c>
      <c r="B675" s="55" t="s">
        <v>452</v>
      </c>
      <c r="C675" s="55" t="s">
        <v>246</v>
      </c>
      <c r="D675" s="55" t="s">
        <v>480</v>
      </c>
      <c r="E675" s="55" t="s">
        <v>484</v>
      </c>
      <c r="F675" s="55" t="s">
        <v>209</v>
      </c>
      <c r="G675" s="55" t="s">
        <v>458</v>
      </c>
      <c r="H675" s="56">
        <v>16.07</v>
      </c>
    </row>
    <row r="676" spans="1:8" ht="14">
      <c r="A676" s="54" t="s">
        <v>292</v>
      </c>
      <c r="B676" s="55" t="s">
        <v>452</v>
      </c>
      <c r="C676" s="55" t="s">
        <v>246</v>
      </c>
      <c r="D676" s="55" t="s">
        <v>480</v>
      </c>
      <c r="E676" s="55" t="s">
        <v>484</v>
      </c>
      <c r="F676" s="55" t="s">
        <v>209</v>
      </c>
      <c r="G676" s="55" t="s">
        <v>295</v>
      </c>
      <c r="H676" s="56">
        <v>14.66</v>
      </c>
    </row>
    <row r="677" spans="1:8" ht="14">
      <c r="A677" s="54" t="s">
        <v>292</v>
      </c>
      <c r="B677" s="55" t="s">
        <v>452</v>
      </c>
      <c r="C677" s="55" t="s">
        <v>246</v>
      </c>
      <c r="D677" s="55" t="s">
        <v>480</v>
      </c>
      <c r="E677" s="55" t="s">
        <v>484</v>
      </c>
      <c r="F677" s="55" t="s">
        <v>209</v>
      </c>
      <c r="G677" s="55" t="s">
        <v>295</v>
      </c>
      <c r="H677" s="56">
        <v>15.15</v>
      </c>
    </row>
    <row r="678" spans="1:8" ht="14">
      <c r="A678" s="54" t="s">
        <v>292</v>
      </c>
      <c r="B678" s="55" t="s">
        <v>452</v>
      </c>
      <c r="C678" s="55" t="s">
        <v>246</v>
      </c>
      <c r="D678" s="55" t="s">
        <v>480</v>
      </c>
      <c r="E678" s="55" t="s">
        <v>485</v>
      </c>
      <c r="F678" s="55" t="s">
        <v>209</v>
      </c>
      <c r="G678" s="55" t="s">
        <v>362</v>
      </c>
      <c r="H678" s="56">
        <v>13.95</v>
      </c>
    </row>
    <row r="679" spans="1:8" ht="14">
      <c r="A679" s="54" t="s">
        <v>292</v>
      </c>
      <c r="B679" s="55" t="s">
        <v>452</v>
      </c>
      <c r="C679" s="55" t="s">
        <v>246</v>
      </c>
      <c r="D679" s="55" t="s">
        <v>480</v>
      </c>
      <c r="E679" s="55" t="s">
        <v>485</v>
      </c>
      <c r="F679" s="55" t="s">
        <v>209</v>
      </c>
      <c r="G679" s="55" t="s">
        <v>482</v>
      </c>
      <c r="H679" s="56">
        <v>21.78</v>
      </c>
    </row>
    <row r="680" spans="1:8" ht="14">
      <c r="A680" s="54" t="s">
        <v>292</v>
      </c>
      <c r="B680" s="55" t="s">
        <v>452</v>
      </c>
      <c r="C680" s="55" t="s">
        <v>246</v>
      </c>
      <c r="D680" s="55" t="s">
        <v>480</v>
      </c>
      <c r="E680" s="55" t="s">
        <v>485</v>
      </c>
      <c r="F680" s="55" t="s">
        <v>209</v>
      </c>
      <c r="G680" s="55" t="s">
        <v>483</v>
      </c>
      <c r="H680" s="56">
        <v>17.88</v>
      </c>
    </row>
    <row r="681" spans="1:8" ht="14">
      <c r="A681" s="54" t="s">
        <v>292</v>
      </c>
      <c r="B681" s="55" t="s">
        <v>452</v>
      </c>
      <c r="C681" s="55" t="s">
        <v>246</v>
      </c>
      <c r="D681" s="55" t="s">
        <v>480</v>
      </c>
      <c r="E681" s="55" t="s">
        <v>485</v>
      </c>
      <c r="F681" s="55" t="s">
        <v>209</v>
      </c>
      <c r="G681" s="55" t="s">
        <v>334</v>
      </c>
      <c r="H681" s="56">
        <v>16.07</v>
      </c>
    </row>
    <row r="682" spans="1:8" ht="14">
      <c r="A682" s="54" t="s">
        <v>292</v>
      </c>
      <c r="B682" s="55" t="s">
        <v>452</v>
      </c>
      <c r="C682" s="55" t="s">
        <v>246</v>
      </c>
      <c r="D682" s="55" t="s">
        <v>480</v>
      </c>
      <c r="E682" s="55" t="s">
        <v>485</v>
      </c>
      <c r="F682" s="55" t="s">
        <v>209</v>
      </c>
      <c r="G682" s="55" t="s">
        <v>458</v>
      </c>
      <c r="H682" s="56">
        <v>16.07</v>
      </c>
    </row>
    <row r="683" spans="1:8" ht="14">
      <c r="A683" s="54" t="s">
        <v>292</v>
      </c>
      <c r="B683" s="55" t="s">
        <v>452</v>
      </c>
      <c r="C683" s="55" t="s">
        <v>246</v>
      </c>
      <c r="D683" s="55" t="s">
        <v>480</v>
      </c>
      <c r="E683" s="55" t="s">
        <v>485</v>
      </c>
      <c r="F683" s="55" t="s">
        <v>209</v>
      </c>
      <c r="G683" s="55" t="s">
        <v>295</v>
      </c>
      <c r="H683" s="56">
        <v>14.66</v>
      </c>
    </row>
    <row r="684" spans="1:8" ht="14">
      <c r="A684" s="54" t="s">
        <v>292</v>
      </c>
      <c r="B684" s="55" t="s">
        <v>452</v>
      </c>
      <c r="C684" s="55" t="s">
        <v>246</v>
      </c>
      <c r="D684" s="55" t="s">
        <v>480</v>
      </c>
      <c r="E684" s="55" t="s">
        <v>485</v>
      </c>
      <c r="F684" s="55" t="s">
        <v>209</v>
      </c>
      <c r="G684" s="55" t="s">
        <v>295</v>
      </c>
      <c r="H684" s="56">
        <v>15.15</v>
      </c>
    </row>
    <row r="685" spans="1:8" ht="14">
      <c r="A685" s="54" t="s">
        <v>292</v>
      </c>
      <c r="B685" s="55" t="s">
        <v>452</v>
      </c>
      <c r="C685" s="55" t="s">
        <v>246</v>
      </c>
      <c r="D685" s="55" t="s">
        <v>480</v>
      </c>
      <c r="E685" s="55" t="s">
        <v>486</v>
      </c>
      <c r="F685" s="55" t="s">
        <v>209</v>
      </c>
      <c r="G685" s="55" t="s">
        <v>362</v>
      </c>
      <c r="H685" s="56">
        <v>12.68</v>
      </c>
    </row>
    <row r="686" spans="1:8" ht="14">
      <c r="A686" s="54" t="s">
        <v>292</v>
      </c>
      <c r="B686" s="55" t="s">
        <v>452</v>
      </c>
      <c r="C686" s="55" t="s">
        <v>246</v>
      </c>
      <c r="D686" s="55" t="s">
        <v>480</v>
      </c>
      <c r="E686" s="55" t="s">
        <v>486</v>
      </c>
      <c r="F686" s="55" t="s">
        <v>209</v>
      </c>
      <c r="G686" s="55" t="s">
        <v>483</v>
      </c>
      <c r="H686" s="56">
        <v>15.93</v>
      </c>
    </row>
    <row r="687" spans="1:8" ht="14">
      <c r="A687" s="54" t="s">
        <v>292</v>
      </c>
      <c r="B687" s="55" t="s">
        <v>452</v>
      </c>
      <c r="C687" s="55" t="s">
        <v>246</v>
      </c>
      <c r="D687" s="55" t="s">
        <v>480</v>
      </c>
      <c r="E687" s="55" t="s">
        <v>486</v>
      </c>
      <c r="F687" s="55" t="s">
        <v>209</v>
      </c>
      <c r="G687" s="55" t="s">
        <v>334</v>
      </c>
      <c r="H687" s="56">
        <v>19.829999999999998</v>
      </c>
    </row>
    <row r="688" spans="1:8" ht="14">
      <c r="A688" s="54" t="s">
        <v>292</v>
      </c>
      <c r="B688" s="55" t="s">
        <v>452</v>
      </c>
      <c r="C688" s="55" t="s">
        <v>246</v>
      </c>
      <c r="D688" s="55" t="s">
        <v>480</v>
      </c>
      <c r="E688" s="55" t="s">
        <v>486</v>
      </c>
      <c r="F688" s="55" t="s">
        <v>209</v>
      </c>
      <c r="G688" s="55" t="s">
        <v>458</v>
      </c>
      <c r="H688" s="56">
        <v>19.829999999999998</v>
      </c>
    </row>
    <row r="689" spans="1:8" ht="14">
      <c r="A689" s="54" t="s">
        <v>292</v>
      </c>
      <c r="B689" s="55" t="s">
        <v>452</v>
      </c>
      <c r="C689" s="55" t="s">
        <v>246</v>
      </c>
      <c r="D689" s="55" t="s">
        <v>480</v>
      </c>
      <c r="E689" s="55" t="s">
        <v>486</v>
      </c>
      <c r="F689" s="55" t="s">
        <v>209</v>
      </c>
      <c r="G689" s="55" t="s">
        <v>295</v>
      </c>
      <c r="H689" s="56">
        <v>19.829999999999998</v>
      </c>
    </row>
    <row r="690" spans="1:8" ht="14">
      <c r="A690" s="54" t="s">
        <v>292</v>
      </c>
      <c r="B690" s="55" t="s">
        <v>452</v>
      </c>
      <c r="C690" s="55" t="s">
        <v>246</v>
      </c>
      <c r="D690" s="55" t="s">
        <v>480</v>
      </c>
      <c r="E690" s="55" t="s">
        <v>486</v>
      </c>
      <c r="F690" s="55" t="s">
        <v>209</v>
      </c>
      <c r="G690" s="55" t="s">
        <v>295</v>
      </c>
      <c r="H690" s="56">
        <v>20.32</v>
      </c>
    </row>
    <row r="691" spans="1:8" ht="14">
      <c r="A691" s="54" t="s">
        <v>292</v>
      </c>
      <c r="B691" s="55" t="s">
        <v>452</v>
      </c>
      <c r="C691" s="55" t="s">
        <v>246</v>
      </c>
      <c r="D691" s="55" t="s">
        <v>480</v>
      </c>
      <c r="E691" s="55" t="s">
        <v>487</v>
      </c>
      <c r="F691" s="55" t="s">
        <v>209</v>
      </c>
      <c r="G691" s="55" t="s">
        <v>362</v>
      </c>
      <c r="H691" s="56">
        <v>12.87</v>
      </c>
    </row>
    <row r="692" spans="1:8" ht="14">
      <c r="A692" s="54" t="s">
        <v>292</v>
      </c>
      <c r="B692" s="55" t="s">
        <v>452</v>
      </c>
      <c r="C692" s="55" t="s">
        <v>246</v>
      </c>
      <c r="D692" s="55" t="s">
        <v>480</v>
      </c>
      <c r="E692" s="55" t="s">
        <v>487</v>
      </c>
      <c r="F692" s="55" t="s">
        <v>209</v>
      </c>
      <c r="G692" s="55" t="s">
        <v>483</v>
      </c>
      <c r="H692" s="56">
        <v>19.18</v>
      </c>
    </row>
    <row r="693" spans="1:8" ht="14">
      <c r="A693" s="54" t="s">
        <v>292</v>
      </c>
      <c r="B693" s="55" t="s">
        <v>452</v>
      </c>
      <c r="C693" s="55" t="s">
        <v>246</v>
      </c>
      <c r="D693" s="55" t="s">
        <v>480</v>
      </c>
      <c r="E693" s="55" t="s">
        <v>487</v>
      </c>
      <c r="F693" s="55" t="s">
        <v>209</v>
      </c>
      <c r="G693" s="55" t="s">
        <v>326</v>
      </c>
      <c r="H693" s="56">
        <v>21.13</v>
      </c>
    </row>
    <row r="694" spans="1:8" ht="14">
      <c r="A694" s="54" t="s">
        <v>292</v>
      </c>
      <c r="B694" s="55" t="s">
        <v>452</v>
      </c>
      <c r="C694" s="55" t="s">
        <v>246</v>
      </c>
      <c r="D694" s="55" t="s">
        <v>480</v>
      </c>
      <c r="E694" s="55" t="s">
        <v>487</v>
      </c>
      <c r="F694" s="55" t="s">
        <v>209</v>
      </c>
      <c r="G694" s="55" t="s">
        <v>334</v>
      </c>
      <c r="H694" s="56">
        <v>19.829999999999998</v>
      </c>
    </row>
    <row r="695" spans="1:8" ht="14">
      <c r="A695" s="54" t="s">
        <v>292</v>
      </c>
      <c r="B695" s="55" t="s">
        <v>452</v>
      </c>
      <c r="C695" s="55" t="s">
        <v>246</v>
      </c>
      <c r="D695" s="55" t="s">
        <v>480</v>
      </c>
      <c r="E695" s="55" t="s">
        <v>487</v>
      </c>
      <c r="F695" s="55" t="s">
        <v>209</v>
      </c>
      <c r="G695" s="55" t="s">
        <v>458</v>
      </c>
      <c r="H695" s="56">
        <v>19.829999999999998</v>
      </c>
    </row>
    <row r="696" spans="1:8" ht="14">
      <c r="A696" s="54" t="s">
        <v>292</v>
      </c>
      <c r="B696" s="55" t="s">
        <v>452</v>
      </c>
      <c r="C696" s="55" t="s">
        <v>246</v>
      </c>
      <c r="D696" s="55" t="s">
        <v>480</v>
      </c>
      <c r="E696" s="55" t="s">
        <v>487</v>
      </c>
      <c r="F696" s="55" t="s">
        <v>209</v>
      </c>
      <c r="G696" s="55" t="s">
        <v>295</v>
      </c>
      <c r="H696" s="56">
        <v>19.829999999999998</v>
      </c>
    </row>
    <row r="697" spans="1:8" ht="14">
      <c r="A697" s="54" t="s">
        <v>292</v>
      </c>
      <c r="B697" s="55" t="s">
        <v>452</v>
      </c>
      <c r="C697" s="55" t="s">
        <v>246</v>
      </c>
      <c r="D697" s="55" t="s">
        <v>480</v>
      </c>
      <c r="E697" s="55" t="s">
        <v>487</v>
      </c>
      <c r="F697" s="55" t="s">
        <v>209</v>
      </c>
      <c r="G697" s="55" t="s">
        <v>295</v>
      </c>
      <c r="H697" s="56">
        <v>20.32</v>
      </c>
    </row>
    <row r="698" spans="1:8" ht="14">
      <c r="A698" s="54" t="s">
        <v>292</v>
      </c>
      <c r="B698" s="55" t="s">
        <v>452</v>
      </c>
      <c r="C698" s="55" t="s">
        <v>246</v>
      </c>
      <c r="D698" s="55" t="s">
        <v>480</v>
      </c>
      <c r="E698" s="55" t="s">
        <v>488</v>
      </c>
      <c r="F698" s="55" t="s">
        <v>209</v>
      </c>
      <c r="G698" s="55" t="s">
        <v>362</v>
      </c>
      <c r="H698" s="56">
        <v>19.829999999999998</v>
      </c>
    </row>
    <row r="699" spans="1:8" ht="14">
      <c r="A699" s="54" t="s">
        <v>292</v>
      </c>
      <c r="B699" s="55" t="s">
        <v>452</v>
      </c>
      <c r="C699" s="55" t="s">
        <v>246</v>
      </c>
      <c r="D699" s="55" t="s">
        <v>480</v>
      </c>
      <c r="E699" s="55" t="s">
        <v>488</v>
      </c>
      <c r="F699" s="55" t="s">
        <v>209</v>
      </c>
      <c r="G699" s="55" t="s">
        <v>482</v>
      </c>
      <c r="H699" s="56">
        <v>22.43</v>
      </c>
    </row>
    <row r="700" spans="1:8" ht="14">
      <c r="A700" s="54" t="s">
        <v>292</v>
      </c>
      <c r="B700" s="55" t="s">
        <v>452</v>
      </c>
      <c r="C700" s="55" t="s">
        <v>246</v>
      </c>
      <c r="D700" s="55" t="s">
        <v>480</v>
      </c>
      <c r="E700" s="55" t="s">
        <v>488</v>
      </c>
      <c r="F700" s="55" t="s">
        <v>209</v>
      </c>
      <c r="G700" s="55" t="s">
        <v>483</v>
      </c>
      <c r="H700" s="56">
        <v>21.78</v>
      </c>
    </row>
    <row r="701" spans="1:8" ht="14">
      <c r="A701" s="54" t="s">
        <v>292</v>
      </c>
      <c r="B701" s="55" t="s">
        <v>452</v>
      </c>
      <c r="C701" s="55" t="s">
        <v>246</v>
      </c>
      <c r="D701" s="55" t="s">
        <v>480</v>
      </c>
      <c r="E701" s="55" t="s">
        <v>488</v>
      </c>
      <c r="F701" s="55" t="s">
        <v>209</v>
      </c>
      <c r="G701" s="55" t="s">
        <v>295</v>
      </c>
      <c r="H701" s="56">
        <v>20.32</v>
      </c>
    </row>
    <row r="702" spans="1:8" ht="14">
      <c r="A702" s="54" t="s">
        <v>292</v>
      </c>
      <c r="B702" s="55" t="s">
        <v>452</v>
      </c>
      <c r="C702" s="55" t="s">
        <v>246</v>
      </c>
      <c r="D702" s="55" t="s">
        <v>480</v>
      </c>
      <c r="E702" s="55" t="s">
        <v>489</v>
      </c>
      <c r="F702" s="55" t="s">
        <v>209</v>
      </c>
      <c r="G702" s="55" t="s">
        <v>362</v>
      </c>
      <c r="H702" s="56">
        <v>20.48</v>
      </c>
    </row>
    <row r="703" spans="1:8" ht="14">
      <c r="A703" s="54" t="s">
        <v>292</v>
      </c>
      <c r="B703" s="55" t="s">
        <v>452</v>
      </c>
      <c r="C703" s="55" t="s">
        <v>246</v>
      </c>
      <c r="D703" s="55" t="s">
        <v>480</v>
      </c>
      <c r="E703" s="55" t="s">
        <v>489</v>
      </c>
      <c r="F703" s="55" t="s">
        <v>209</v>
      </c>
      <c r="G703" s="55" t="s">
        <v>482</v>
      </c>
      <c r="H703" s="56">
        <v>23.08</v>
      </c>
    </row>
    <row r="704" spans="1:8" ht="14">
      <c r="A704" s="54" t="s">
        <v>292</v>
      </c>
      <c r="B704" s="55" t="s">
        <v>452</v>
      </c>
      <c r="C704" s="55" t="s">
        <v>246</v>
      </c>
      <c r="D704" s="55" t="s">
        <v>480</v>
      </c>
      <c r="E704" s="55" t="s">
        <v>489</v>
      </c>
      <c r="F704" s="55" t="s">
        <v>209</v>
      </c>
      <c r="G704" s="55" t="s">
        <v>483</v>
      </c>
      <c r="H704" s="56">
        <v>22.43</v>
      </c>
    </row>
    <row r="705" spans="1:8" ht="14">
      <c r="A705" s="54" t="s">
        <v>292</v>
      </c>
      <c r="B705" s="55" t="s">
        <v>452</v>
      </c>
      <c r="C705" s="55" t="s">
        <v>246</v>
      </c>
      <c r="D705" s="55" t="s">
        <v>480</v>
      </c>
      <c r="E705" s="55" t="s">
        <v>489</v>
      </c>
      <c r="F705" s="55" t="s">
        <v>209</v>
      </c>
      <c r="G705" s="55" t="s">
        <v>295</v>
      </c>
      <c r="H705" s="56">
        <v>20.32</v>
      </c>
    </row>
    <row r="706" spans="1:8" ht="14">
      <c r="A706" s="54" t="s">
        <v>292</v>
      </c>
      <c r="B706" s="55" t="s">
        <v>452</v>
      </c>
      <c r="C706" s="55" t="s">
        <v>246</v>
      </c>
      <c r="D706" s="55" t="s">
        <v>480</v>
      </c>
      <c r="E706" s="55" t="s">
        <v>490</v>
      </c>
      <c r="F706" s="55" t="s">
        <v>209</v>
      </c>
      <c r="G706" s="55" t="s">
        <v>362</v>
      </c>
      <c r="H706" s="56">
        <v>23.73</v>
      </c>
    </row>
    <row r="707" spans="1:8" ht="14">
      <c r="A707" s="54" t="s">
        <v>292</v>
      </c>
      <c r="B707" s="55" t="s">
        <v>452</v>
      </c>
      <c r="C707" s="55" t="s">
        <v>246</v>
      </c>
      <c r="D707" s="55" t="s">
        <v>480</v>
      </c>
      <c r="E707" s="55" t="s">
        <v>490</v>
      </c>
      <c r="F707" s="55" t="s">
        <v>209</v>
      </c>
      <c r="G707" s="55" t="s">
        <v>483</v>
      </c>
      <c r="H707" s="56">
        <v>23.73</v>
      </c>
    </row>
    <row r="708" spans="1:8" ht="14">
      <c r="A708" s="54" t="s">
        <v>292</v>
      </c>
      <c r="B708" s="55" t="s">
        <v>452</v>
      </c>
      <c r="C708" s="55" t="s">
        <v>246</v>
      </c>
      <c r="D708" s="55" t="s">
        <v>480</v>
      </c>
      <c r="E708" s="55" t="s">
        <v>490</v>
      </c>
      <c r="F708" s="55" t="s">
        <v>209</v>
      </c>
      <c r="G708" s="55" t="s">
        <v>334</v>
      </c>
      <c r="H708" s="56">
        <v>19.829999999999998</v>
      </c>
    </row>
    <row r="709" spans="1:8" ht="14">
      <c r="A709" s="54" t="s">
        <v>292</v>
      </c>
      <c r="B709" s="55" t="s">
        <v>452</v>
      </c>
      <c r="C709" s="55" t="s">
        <v>246</v>
      </c>
      <c r="D709" s="55" t="s">
        <v>480</v>
      </c>
      <c r="E709" s="55" t="s">
        <v>490</v>
      </c>
      <c r="F709" s="55" t="s">
        <v>209</v>
      </c>
      <c r="G709" s="55" t="s">
        <v>458</v>
      </c>
      <c r="H709" s="56">
        <v>19.829999999999998</v>
      </c>
    </row>
    <row r="710" spans="1:8" ht="14">
      <c r="A710" s="54" t="s">
        <v>292</v>
      </c>
      <c r="B710" s="55" t="s">
        <v>452</v>
      </c>
      <c r="C710" s="55" t="s">
        <v>246</v>
      </c>
      <c r="D710" s="55" t="s">
        <v>480</v>
      </c>
      <c r="E710" s="55" t="s">
        <v>490</v>
      </c>
      <c r="F710" s="55" t="s">
        <v>209</v>
      </c>
      <c r="G710" s="55" t="s">
        <v>295</v>
      </c>
      <c r="H710" s="56">
        <v>19.829999999999998</v>
      </c>
    </row>
    <row r="711" spans="1:8" ht="14">
      <c r="A711" s="54" t="s">
        <v>292</v>
      </c>
      <c r="B711" s="55" t="s">
        <v>452</v>
      </c>
      <c r="C711" s="55" t="s">
        <v>246</v>
      </c>
      <c r="D711" s="55" t="s">
        <v>480</v>
      </c>
      <c r="E711" s="55" t="s">
        <v>490</v>
      </c>
      <c r="F711" s="55" t="s">
        <v>209</v>
      </c>
      <c r="G711" s="55" t="s">
        <v>295</v>
      </c>
      <c r="H711" s="56">
        <v>20.32</v>
      </c>
    </row>
    <row r="712" spans="1:8" ht="14">
      <c r="A712" s="54" t="s">
        <v>292</v>
      </c>
      <c r="B712" s="55" t="s">
        <v>452</v>
      </c>
      <c r="C712" s="55" t="s">
        <v>287</v>
      </c>
      <c r="D712" s="55">
        <v>0</v>
      </c>
      <c r="E712" s="55" t="s">
        <v>491</v>
      </c>
      <c r="F712" s="55" t="s">
        <v>343</v>
      </c>
      <c r="G712" s="55" t="s">
        <v>301</v>
      </c>
      <c r="H712" s="56">
        <v>15.13</v>
      </c>
    </row>
    <row r="713" spans="1:8" ht="14">
      <c r="A713" s="54" t="s">
        <v>292</v>
      </c>
      <c r="B713" s="55"/>
      <c r="C713" s="55"/>
      <c r="D713" s="55"/>
      <c r="E713" s="55"/>
      <c r="F713" s="55" t="s">
        <v>209</v>
      </c>
      <c r="G713" s="55" t="s">
        <v>226</v>
      </c>
      <c r="H713" s="56"/>
    </row>
    <row r="714" spans="1:8" ht="14">
      <c r="A714" s="54" t="s">
        <v>492</v>
      </c>
      <c r="B714" s="55" t="s">
        <v>204</v>
      </c>
      <c r="C714" s="55" t="s">
        <v>205</v>
      </c>
      <c r="D714" s="55">
        <v>0</v>
      </c>
      <c r="E714" s="55" t="s">
        <v>493</v>
      </c>
      <c r="F714" s="55" t="s">
        <v>209</v>
      </c>
      <c r="G714" s="55" t="s">
        <v>355</v>
      </c>
      <c r="H714" s="56">
        <v>35.78</v>
      </c>
    </row>
    <row r="715" spans="1:8" ht="14">
      <c r="A715" s="54" t="s">
        <v>492</v>
      </c>
      <c r="B715" s="55" t="s">
        <v>204</v>
      </c>
      <c r="C715" s="55" t="s">
        <v>205</v>
      </c>
      <c r="D715" s="55">
        <v>0</v>
      </c>
      <c r="E715" s="55" t="s">
        <v>493</v>
      </c>
      <c r="F715" s="55" t="s">
        <v>209</v>
      </c>
      <c r="G715" s="55" t="s">
        <v>494</v>
      </c>
      <c r="H715" s="56">
        <v>31.54</v>
      </c>
    </row>
    <row r="716" spans="1:8" ht="14">
      <c r="A716" s="54" t="s">
        <v>492</v>
      </c>
      <c r="B716" s="55" t="s">
        <v>204</v>
      </c>
      <c r="C716" s="55" t="s">
        <v>205</v>
      </c>
      <c r="D716" s="55">
        <v>0</v>
      </c>
      <c r="E716" s="55" t="s">
        <v>493</v>
      </c>
      <c r="F716" s="55" t="s">
        <v>495</v>
      </c>
      <c r="G716" s="55" t="s">
        <v>496</v>
      </c>
      <c r="H716" s="56">
        <v>32.950000000000003</v>
      </c>
    </row>
    <row r="717" spans="1:8" ht="14">
      <c r="A717" s="54" t="s">
        <v>492</v>
      </c>
      <c r="B717" s="55" t="s">
        <v>204</v>
      </c>
      <c r="C717" s="55" t="s">
        <v>205</v>
      </c>
      <c r="D717" s="55">
        <v>0</v>
      </c>
      <c r="E717" s="55" t="s">
        <v>497</v>
      </c>
      <c r="F717" s="55" t="s">
        <v>209</v>
      </c>
      <c r="G717" s="55" t="s">
        <v>294</v>
      </c>
      <c r="H717" s="56">
        <v>15.97</v>
      </c>
    </row>
    <row r="718" spans="1:8" ht="14">
      <c r="A718" s="54" t="s">
        <v>492</v>
      </c>
      <c r="B718" s="55" t="s">
        <v>204</v>
      </c>
      <c r="C718" s="55" t="s">
        <v>205</v>
      </c>
      <c r="D718" s="55">
        <v>0</v>
      </c>
      <c r="E718" s="55" t="s">
        <v>498</v>
      </c>
      <c r="F718" s="55" t="s">
        <v>209</v>
      </c>
      <c r="G718" s="55" t="s">
        <v>311</v>
      </c>
      <c r="H718" s="56">
        <v>12.79</v>
      </c>
    </row>
    <row r="719" spans="1:8" ht="14">
      <c r="A719" s="54" t="s">
        <v>492</v>
      </c>
      <c r="B719" s="55" t="s">
        <v>204</v>
      </c>
      <c r="C719" s="55" t="s">
        <v>205</v>
      </c>
      <c r="D719" s="55">
        <v>0</v>
      </c>
      <c r="E719" s="55" t="s">
        <v>499</v>
      </c>
      <c r="F719" s="55" t="s">
        <v>207</v>
      </c>
      <c r="G719" s="55" t="s">
        <v>219</v>
      </c>
      <c r="H719" s="56">
        <v>3.93</v>
      </c>
    </row>
    <row r="720" spans="1:8" ht="14">
      <c r="A720" s="54" t="s">
        <v>492</v>
      </c>
      <c r="B720" s="55" t="s">
        <v>204</v>
      </c>
      <c r="C720" s="55" t="s">
        <v>205</v>
      </c>
      <c r="D720" s="55">
        <v>0</v>
      </c>
      <c r="E720" s="55" t="s">
        <v>499</v>
      </c>
      <c r="F720" s="55" t="s">
        <v>209</v>
      </c>
      <c r="G720" s="55" t="s">
        <v>236</v>
      </c>
      <c r="H720" s="56">
        <v>2</v>
      </c>
    </row>
    <row r="721" spans="1:8" ht="14">
      <c r="A721" s="54" t="s">
        <v>492</v>
      </c>
      <c r="B721" s="55" t="s">
        <v>204</v>
      </c>
      <c r="C721" s="55" t="s">
        <v>205</v>
      </c>
      <c r="D721" s="55">
        <v>0</v>
      </c>
      <c r="E721" s="55" t="s">
        <v>499</v>
      </c>
      <c r="F721" s="55" t="s">
        <v>209</v>
      </c>
      <c r="G721" s="55" t="s">
        <v>379</v>
      </c>
      <c r="H721" s="56">
        <v>1</v>
      </c>
    </row>
    <row r="722" spans="1:8" ht="14">
      <c r="A722" s="54" t="s">
        <v>492</v>
      </c>
      <c r="B722" s="55" t="s">
        <v>204</v>
      </c>
      <c r="C722" s="55" t="s">
        <v>205</v>
      </c>
      <c r="D722" s="55">
        <v>0</v>
      </c>
      <c r="E722" s="55" t="s">
        <v>499</v>
      </c>
      <c r="F722" s="55" t="s">
        <v>209</v>
      </c>
      <c r="G722" s="55" t="s">
        <v>217</v>
      </c>
      <c r="H722" s="56">
        <v>5.62</v>
      </c>
    </row>
    <row r="723" spans="1:8" ht="14">
      <c r="A723" s="54" t="s">
        <v>492</v>
      </c>
      <c r="B723" s="55" t="s">
        <v>204</v>
      </c>
      <c r="C723" s="55" t="s">
        <v>205</v>
      </c>
      <c r="D723" s="55">
        <v>0</v>
      </c>
      <c r="E723" s="55" t="s">
        <v>499</v>
      </c>
      <c r="F723" s="55" t="s">
        <v>209</v>
      </c>
      <c r="G723" s="55" t="s">
        <v>311</v>
      </c>
      <c r="H723" s="56">
        <v>15.7</v>
      </c>
    </row>
    <row r="724" spans="1:8" ht="14">
      <c r="A724" s="54" t="s">
        <v>492</v>
      </c>
      <c r="B724" s="55" t="s">
        <v>204</v>
      </c>
      <c r="C724" s="55" t="s">
        <v>205</v>
      </c>
      <c r="D724" s="55">
        <v>0</v>
      </c>
      <c r="E724" s="55" t="s">
        <v>499</v>
      </c>
      <c r="F724" s="55" t="s">
        <v>209</v>
      </c>
      <c r="G724" s="55" t="s">
        <v>226</v>
      </c>
      <c r="H724" s="56">
        <v>5.92</v>
      </c>
    </row>
    <row r="725" spans="1:8" ht="14">
      <c r="A725" s="54" t="s">
        <v>492</v>
      </c>
      <c r="B725" s="55" t="s">
        <v>204</v>
      </c>
      <c r="C725" s="55" t="s">
        <v>205</v>
      </c>
      <c r="D725" s="55">
        <v>0</v>
      </c>
      <c r="E725" s="55" t="s">
        <v>500</v>
      </c>
      <c r="F725" s="55" t="s">
        <v>207</v>
      </c>
      <c r="G725" s="55" t="s">
        <v>219</v>
      </c>
      <c r="H725" s="56">
        <v>2.33</v>
      </c>
    </row>
    <row r="726" spans="1:8" ht="14">
      <c r="A726" s="54" t="s">
        <v>492</v>
      </c>
      <c r="B726" s="55" t="s">
        <v>204</v>
      </c>
      <c r="C726" s="55" t="s">
        <v>205</v>
      </c>
      <c r="D726" s="55">
        <v>0</v>
      </c>
      <c r="E726" s="55" t="s">
        <v>500</v>
      </c>
      <c r="F726" s="55" t="s">
        <v>209</v>
      </c>
      <c r="G726" s="55" t="s">
        <v>294</v>
      </c>
      <c r="H726" s="56">
        <v>11.15</v>
      </c>
    </row>
    <row r="727" spans="1:8" ht="14">
      <c r="A727" s="54" t="s">
        <v>492</v>
      </c>
      <c r="B727" s="55" t="s">
        <v>204</v>
      </c>
      <c r="C727" s="55" t="s">
        <v>205</v>
      </c>
      <c r="D727" s="55">
        <v>0</v>
      </c>
      <c r="E727" s="55" t="s">
        <v>500</v>
      </c>
      <c r="F727" s="55" t="s">
        <v>209</v>
      </c>
      <c r="G727" s="55" t="s">
        <v>217</v>
      </c>
      <c r="H727" s="56">
        <v>4.7699999999999996</v>
      </c>
    </row>
    <row r="728" spans="1:8" ht="14">
      <c r="A728" s="54" t="s">
        <v>492</v>
      </c>
      <c r="B728" s="55" t="s">
        <v>204</v>
      </c>
      <c r="C728" s="55" t="s">
        <v>205</v>
      </c>
      <c r="D728" s="55">
        <v>0</v>
      </c>
      <c r="E728" s="55" t="s">
        <v>500</v>
      </c>
      <c r="F728" s="55" t="s">
        <v>209</v>
      </c>
      <c r="G728" s="55" t="s">
        <v>226</v>
      </c>
      <c r="H728" s="56">
        <v>4.8600000000000003</v>
      </c>
    </row>
    <row r="729" spans="1:8" ht="14">
      <c r="A729" s="54" t="s">
        <v>492</v>
      </c>
      <c r="B729" s="55" t="s">
        <v>204</v>
      </c>
      <c r="C729" s="55" t="s">
        <v>205</v>
      </c>
      <c r="D729" s="55">
        <v>0</v>
      </c>
      <c r="E729" s="55" t="s">
        <v>501</v>
      </c>
      <c r="F729" s="55" t="s">
        <v>207</v>
      </c>
      <c r="G729" s="55" t="s">
        <v>219</v>
      </c>
      <c r="H729" s="56">
        <v>4.54</v>
      </c>
    </row>
    <row r="730" spans="1:8" ht="14">
      <c r="A730" s="54" t="s">
        <v>492</v>
      </c>
      <c r="B730" s="55" t="s">
        <v>204</v>
      </c>
      <c r="C730" s="55" t="s">
        <v>205</v>
      </c>
      <c r="D730" s="55">
        <v>0</v>
      </c>
      <c r="E730" s="55" t="s">
        <v>501</v>
      </c>
      <c r="F730" s="55" t="s">
        <v>209</v>
      </c>
      <c r="G730" s="55" t="s">
        <v>294</v>
      </c>
      <c r="H730" s="56">
        <v>14.33</v>
      </c>
    </row>
    <row r="731" spans="1:8" ht="14">
      <c r="A731" s="54" t="s">
        <v>492</v>
      </c>
      <c r="B731" s="55" t="s">
        <v>204</v>
      </c>
      <c r="C731" s="55" t="s">
        <v>205</v>
      </c>
      <c r="D731" s="55">
        <v>0</v>
      </c>
      <c r="E731" s="55" t="s">
        <v>501</v>
      </c>
      <c r="F731" s="55" t="s">
        <v>209</v>
      </c>
      <c r="G731" s="55" t="s">
        <v>217</v>
      </c>
      <c r="H731" s="56">
        <v>8.11</v>
      </c>
    </row>
    <row r="732" spans="1:8" ht="14">
      <c r="A732" s="54" t="s">
        <v>492</v>
      </c>
      <c r="B732" s="55" t="s">
        <v>204</v>
      </c>
      <c r="C732" s="55" t="s">
        <v>205</v>
      </c>
      <c r="D732" s="55">
        <v>0</v>
      </c>
      <c r="E732" s="55" t="s">
        <v>501</v>
      </c>
      <c r="F732" s="55" t="s">
        <v>209</v>
      </c>
      <c r="G732" s="55" t="s">
        <v>220</v>
      </c>
      <c r="H732" s="56">
        <v>8.4600000000000009</v>
      </c>
    </row>
    <row r="733" spans="1:8" ht="14">
      <c r="A733" s="54" t="s">
        <v>492</v>
      </c>
      <c r="B733" s="55" t="s">
        <v>204</v>
      </c>
      <c r="C733" s="55" t="s">
        <v>205</v>
      </c>
      <c r="D733" s="55">
        <v>0</v>
      </c>
      <c r="E733" s="55" t="s">
        <v>501</v>
      </c>
      <c r="F733" s="55" t="s">
        <v>209</v>
      </c>
      <c r="G733" s="55" t="s">
        <v>242</v>
      </c>
      <c r="H733" s="56">
        <v>8.4600000000000009</v>
      </c>
    </row>
    <row r="734" spans="1:8" ht="14">
      <c r="A734" s="54" t="s">
        <v>492</v>
      </c>
      <c r="B734" s="55" t="s">
        <v>204</v>
      </c>
      <c r="C734" s="55" t="s">
        <v>205</v>
      </c>
      <c r="D734" s="55">
        <v>0</v>
      </c>
      <c r="E734" s="55" t="s">
        <v>502</v>
      </c>
      <c r="F734" s="55" t="s">
        <v>207</v>
      </c>
      <c r="G734" s="55" t="s">
        <v>342</v>
      </c>
      <c r="H734" s="56">
        <v>4.68</v>
      </c>
    </row>
    <row r="735" spans="1:8" ht="14">
      <c r="A735" s="54" t="s">
        <v>492</v>
      </c>
      <c r="B735" s="55" t="s">
        <v>204</v>
      </c>
      <c r="C735" s="55" t="s">
        <v>205</v>
      </c>
      <c r="D735" s="55">
        <v>0</v>
      </c>
      <c r="E735" s="55" t="s">
        <v>502</v>
      </c>
      <c r="F735" s="55" t="s">
        <v>209</v>
      </c>
      <c r="G735" s="55" t="s">
        <v>355</v>
      </c>
      <c r="H735" s="56">
        <v>17.13</v>
      </c>
    </row>
    <row r="736" spans="1:8" ht="14">
      <c r="A736" s="54" t="s">
        <v>492</v>
      </c>
      <c r="B736" s="55" t="s">
        <v>204</v>
      </c>
      <c r="C736" s="55" t="s">
        <v>205</v>
      </c>
      <c r="D736" s="55">
        <v>0</v>
      </c>
      <c r="E736" s="55" t="s">
        <v>502</v>
      </c>
      <c r="F736" s="55" t="s">
        <v>209</v>
      </c>
      <c r="G736" s="55" t="s">
        <v>225</v>
      </c>
      <c r="H736" s="56">
        <v>9.86</v>
      </c>
    </row>
    <row r="737" spans="1:8" ht="14">
      <c r="A737" s="54" t="s">
        <v>492</v>
      </c>
      <c r="B737" s="55" t="s">
        <v>204</v>
      </c>
      <c r="C737" s="55" t="s">
        <v>205</v>
      </c>
      <c r="D737" s="55">
        <v>0</v>
      </c>
      <c r="E737" s="55" t="s">
        <v>502</v>
      </c>
      <c r="F737" s="55" t="s">
        <v>209</v>
      </c>
      <c r="G737" s="55" t="s">
        <v>294</v>
      </c>
      <c r="H737" s="56">
        <v>17.13</v>
      </c>
    </row>
    <row r="738" spans="1:8" ht="14">
      <c r="A738" s="54" t="s">
        <v>492</v>
      </c>
      <c r="B738" s="55" t="s">
        <v>204</v>
      </c>
      <c r="C738" s="55" t="s">
        <v>205</v>
      </c>
      <c r="D738" s="55">
        <v>0</v>
      </c>
      <c r="E738" s="55" t="s">
        <v>502</v>
      </c>
      <c r="F738" s="55" t="s">
        <v>209</v>
      </c>
      <c r="G738" s="55" t="s">
        <v>217</v>
      </c>
      <c r="H738" s="56">
        <v>9.0299999999999994</v>
      </c>
    </row>
    <row r="739" spans="1:8" ht="14">
      <c r="A739" s="54" t="s">
        <v>492</v>
      </c>
      <c r="B739" s="55" t="s">
        <v>204</v>
      </c>
      <c r="C739" s="55" t="s">
        <v>205</v>
      </c>
      <c r="D739" s="55">
        <v>0</v>
      </c>
      <c r="E739" s="55" t="s">
        <v>502</v>
      </c>
      <c r="F739" s="55" t="s">
        <v>209</v>
      </c>
      <c r="G739" s="55" t="s">
        <v>220</v>
      </c>
      <c r="H739" s="56">
        <v>9.17</v>
      </c>
    </row>
    <row r="740" spans="1:8" ht="14">
      <c r="A740" s="54" t="s">
        <v>492</v>
      </c>
      <c r="B740" s="55" t="s">
        <v>204</v>
      </c>
      <c r="C740" s="55" t="s">
        <v>205</v>
      </c>
      <c r="D740" s="55">
        <v>0</v>
      </c>
      <c r="E740" s="55" t="s">
        <v>503</v>
      </c>
      <c r="F740" s="55" t="s">
        <v>207</v>
      </c>
      <c r="G740" s="55" t="s">
        <v>219</v>
      </c>
      <c r="H740" s="56">
        <v>2.9</v>
      </c>
    </row>
    <row r="741" spans="1:8" ht="14">
      <c r="A741" s="54" t="s">
        <v>492</v>
      </c>
      <c r="B741" s="55" t="s">
        <v>204</v>
      </c>
      <c r="C741" s="55" t="s">
        <v>205</v>
      </c>
      <c r="D741" s="55">
        <v>0</v>
      </c>
      <c r="E741" s="55" t="s">
        <v>503</v>
      </c>
      <c r="F741" s="55" t="s">
        <v>209</v>
      </c>
      <c r="G741" s="55" t="s">
        <v>217</v>
      </c>
      <c r="H741" s="56">
        <v>5.25</v>
      </c>
    </row>
    <row r="742" spans="1:8" ht="14">
      <c r="A742" s="54" t="s">
        <v>492</v>
      </c>
      <c r="B742" s="55" t="s">
        <v>204</v>
      </c>
      <c r="C742" s="55" t="s">
        <v>205</v>
      </c>
      <c r="D742" s="55">
        <v>0</v>
      </c>
      <c r="E742" s="55" t="s">
        <v>503</v>
      </c>
      <c r="F742" s="55" t="s">
        <v>209</v>
      </c>
      <c r="G742" s="55" t="s">
        <v>220</v>
      </c>
      <c r="H742" s="56">
        <v>5.92</v>
      </c>
    </row>
    <row r="743" spans="1:8" ht="14">
      <c r="A743" s="54" t="s">
        <v>492</v>
      </c>
      <c r="B743" s="55" t="s">
        <v>204</v>
      </c>
      <c r="C743" s="55" t="s">
        <v>205</v>
      </c>
      <c r="D743" s="55">
        <v>0</v>
      </c>
      <c r="E743" s="55" t="s">
        <v>503</v>
      </c>
      <c r="F743" s="55" t="s">
        <v>209</v>
      </c>
      <c r="G743" s="55" t="s">
        <v>311</v>
      </c>
      <c r="H743" s="56">
        <v>13.55</v>
      </c>
    </row>
    <row r="744" spans="1:8" ht="14">
      <c r="A744" s="54" t="s">
        <v>492</v>
      </c>
      <c r="B744" s="55" t="s">
        <v>204</v>
      </c>
      <c r="C744" s="55" t="s">
        <v>205</v>
      </c>
      <c r="D744" s="55">
        <v>0</v>
      </c>
      <c r="E744" s="55" t="s">
        <v>503</v>
      </c>
      <c r="F744" s="55" t="s">
        <v>209</v>
      </c>
      <c r="G744" s="55" t="s">
        <v>226</v>
      </c>
      <c r="H744" s="56">
        <v>5.25</v>
      </c>
    </row>
    <row r="745" spans="1:8" ht="14">
      <c r="A745" s="54" t="s">
        <v>492</v>
      </c>
      <c r="B745" s="55" t="s">
        <v>204</v>
      </c>
      <c r="C745" s="55" t="s">
        <v>205</v>
      </c>
      <c r="D745" s="55">
        <v>0</v>
      </c>
      <c r="E745" s="55" t="s">
        <v>503</v>
      </c>
      <c r="F745" s="55" t="s">
        <v>209</v>
      </c>
      <c r="G745" s="55" t="s">
        <v>242</v>
      </c>
      <c r="H745" s="56">
        <v>5.92</v>
      </c>
    </row>
    <row r="746" spans="1:8" ht="14">
      <c r="A746" s="54" t="s">
        <v>492</v>
      </c>
      <c r="B746" s="55" t="s">
        <v>204</v>
      </c>
      <c r="C746" s="55" t="s">
        <v>205</v>
      </c>
      <c r="D746" s="55">
        <v>0</v>
      </c>
      <c r="E746" s="55" t="s">
        <v>504</v>
      </c>
      <c r="F746" s="55" t="s">
        <v>207</v>
      </c>
      <c r="G746" s="55" t="s">
        <v>261</v>
      </c>
      <c r="H746" s="56">
        <v>5.33</v>
      </c>
    </row>
    <row r="747" spans="1:8" ht="14">
      <c r="A747" s="54" t="s">
        <v>492</v>
      </c>
      <c r="B747" s="55" t="s">
        <v>204</v>
      </c>
      <c r="C747" s="55" t="s">
        <v>205</v>
      </c>
      <c r="D747" s="55">
        <v>0</v>
      </c>
      <c r="E747" s="55" t="s">
        <v>504</v>
      </c>
      <c r="F747" s="55" t="s">
        <v>209</v>
      </c>
      <c r="G747" s="55" t="s">
        <v>294</v>
      </c>
      <c r="H747" s="56">
        <v>20.38</v>
      </c>
    </row>
    <row r="748" spans="1:8" ht="14">
      <c r="A748" s="54" t="s">
        <v>492</v>
      </c>
      <c r="B748" s="55" t="s">
        <v>204</v>
      </c>
      <c r="C748" s="55" t="s">
        <v>205</v>
      </c>
      <c r="D748" s="55">
        <v>0</v>
      </c>
      <c r="E748" s="55" t="s">
        <v>504</v>
      </c>
      <c r="F748" s="55" t="s">
        <v>209</v>
      </c>
      <c r="G748" s="55" t="s">
        <v>262</v>
      </c>
      <c r="H748" s="56">
        <v>6.77</v>
      </c>
    </row>
    <row r="749" spans="1:8" ht="14">
      <c r="A749" s="54" t="s">
        <v>492</v>
      </c>
      <c r="B749" s="55" t="s">
        <v>204</v>
      </c>
      <c r="C749" s="55" t="s">
        <v>205</v>
      </c>
      <c r="D749" s="55">
        <v>0</v>
      </c>
      <c r="E749" s="55" t="s">
        <v>504</v>
      </c>
      <c r="F749" s="55" t="s">
        <v>209</v>
      </c>
      <c r="G749" s="55" t="s">
        <v>240</v>
      </c>
      <c r="H749" s="56">
        <v>7.12</v>
      </c>
    </row>
    <row r="750" spans="1:8" ht="14">
      <c r="A750" s="54" t="s">
        <v>492</v>
      </c>
      <c r="B750" s="55" t="s">
        <v>204</v>
      </c>
      <c r="C750" s="55" t="s">
        <v>205</v>
      </c>
      <c r="D750" s="55">
        <v>0</v>
      </c>
      <c r="E750" s="55" t="s">
        <v>505</v>
      </c>
      <c r="F750" s="55" t="s">
        <v>207</v>
      </c>
      <c r="G750" s="55" t="s">
        <v>342</v>
      </c>
      <c r="H750" s="56">
        <v>7.35</v>
      </c>
    </row>
    <row r="751" spans="1:8" ht="14">
      <c r="A751" s="54" t="s">
        <v>492</v>
      </c>
      <c r="B751" s="55" t="s">
        <v>204</v>
      </c>
      <c r="C751" s="55" t="s">
        <v>205</v>
      </c>
      <c r="D751" s="55">
        <v>0</v>
      </c>
      <c r="E751" s="55" t="s">
        <v>505</v>
      </c>
      <c r="F751" s="55" t="s">
        <v>209</v>
      </c>
      <c r="G751" s="55" t="s">
        <v>262</v>
      </c>
      <c r="H751" s="56">
        <v>8.18</v>
      </c>
    </row>
    <row r="752" spans="1:8" ht="14">
      <c r="A752" s="54" t="s">
        <v>492</v>
      </c>
      <c r="B752" s="55" t="s">
        <v>204</v>
      </c>
      <c r="C752" s="55" t="s">
        <v>205</v>
      </c>
      <c r="D752" s="55">
        <v>0</v>
      </c>
      <c r="E752" s="55" t="s">
        <v>505</v>
      </c>
      <c r="F752" s="55" t="s">
        <v>209</v>
      </c>
      <c r="G752" s="55" t="s">
        <v>239</v>
      </c>
      <c r="H752" s="56">
        <v>9.3000000000000007</v>
      </c>
    </row>
    <row r="753" spans="1:8" ht="14">
      <c r="A753" s="54" t="s">
        <v>492</v>
      </c>
      <c r="B753" s="55" t="s">
        <v>204</v>
      </c>
      <c r="C753" s="55" t="s">
        <v>205</v>
      </c>
      <c r="D753" s="55">
        <v>0</v>
      </c>
      <c r="E753" s="55" t="s">
        <v>505</v>
      </c>
      <c r="F753" s="55" t="s">
        <v>209</v>
      </c>
      <c r="G753" s="55" t="s">
        <v>311</v>
      </c>
      <c r="H753" s="56">
        <v>15.83</v>
      </c>
    </row>
    <row r="754" spans="1:8" ht="14">
      <c r="A754" s="54" t="s">
        <v>492</v>
      </c>
      <c r="B754" s="55" t="s">
        <v>204</v>
      </c>
      <c r="C754" s="55" t="s">
        <v>205</v>
      </c>
      <c r="D754" s="55">
        <v>0</v>
      </c>
      <c r="E754" s="55" t="s">
        <v>505</v>
      </c>
      <c r="F754" s="55" t="s">
        <v>209</v>
      </c>
      <c r="G754" s="55" t="s">
        <v>240</v>
      </c>
      <c r="H754" s="56">
        <v>8.5299999999999994</v>
      </c>
    </row>
    <row r="755" spans="1:8" ht="14">
      <c r="A755" s="54" t="s">
        <v>492</v>
      </c>
      <c r="B755" s="55" t="s">
        <v>204</v>
      </c>
      <c r="C755" s="55" t="s">
        <v>205</v>
      </c>
      <c r="D755" s="55">
        <v>0</v>
      </c>
      <c r="E755" s="55" t="s">
        <v>505</v>
      </c>
      <c r="F755" s="55" t="s">
        <v>209</v>
      </c>
      <c r="G755" s="55" t="s">
        <v>336</v>
      </c>
      <c r="H755" s="56">
        <v>9.44</v>
      </c>
    </row>
    <row r="756" spans="1:8" ht="14">
      <c r="A756" s="54" t="s">
        <v>492</v>
      </c>
      <c r="B756" s="55" t="s">
        <v>204</v>
      </c>
      <c r="C756" s="55" t="s">
        <v>246</v>
      </c>
      <c r="D756" s="55">
        <v>0</v>
      </c>
      <c r="E756" s="55" t="s">
        <v>506</v>
      </c>
      <c r="F756" s="55" t="s">
        <v>207</v>
      </c>
      <c r="G756" s="55" t="s">
        <v>219</v>
      </c>
      <c r="H756" s="56">
        <v>4.88</v>
      </c>
    </row>
    <row r="757" spans="1:8" ht="14">
      <c r="A757" s="54" t="s">
        <v>492</v>
      </c>
      <c r="B757" s="55" t="s">
        <v>204</v>
      </c>
      <c r="C757" s="55" t="s">
        <v>246</v>
      </c>
      <c r="D757" s="55">
        <v>0</v>
      </c>
      <c r="E757" s="55" t="s">
        <v>506</v>
      </c>
      <c r="F757" s="55" t="s">
        <v>209</v>
      </c>
      <c r="G757" s="55" t="s">
        <v>355</v>
      </c>
      <c r="H757" s="56">
        <v>15.64</v>
      </c>
    </row>
    <row r="758" spans="1:8" ht="14">
      <c r="A758" s="54" t="s">
        <v>492</v>
      </c>
      <c r="B758" s="55" t="s">
        <v>204</v>
      </c>
      <c r="C758" s="55" t="s">
        <v>246</v>
      </c>
      <c r="D758" s="55">
        <v>0</v>
      </c>
      <c r="E758" s="55" t="s">
        <v>506</v>
      </c>
      <c r="F758" s="55" t="s">
        <v>209</v>
      </c>
      <c r="G758" s="55" t="s">
        <v>494</v>
      </c>
      <c r="H758" s="56">
        <v>15.97</v>
      </c>
    </row>
    <row r="759" spans="1:8" ht="14">
      <c r="A759" s="54" t="s">
        <v>492</v>
      </c>
      <c r="B759" s="55" t="s">
        <v>204</v>
      </c>
      <c r="C759" s="55" t="s">
        <v>246</v>
      </c>
      <c r="D759" s="55">
        <v>0</v>
      </c>
      <c r="E759" s="55" t="s">
        <v>506</v>
      </c>
      <c r="F759" s="55" t="s">
        <v>209</v>
      </c>
      <c r="G759" s="55" t="s">
        <v>294</v>
      </c>
      <c r="H759" s="56">
        <v>15.32</v>
      </c>
    </row>
    <row r="760" spans="1:8" ht="14">
      <c r="A760" s="54" t="s">
        <v>492</v>
      </c>
      <c r="B760" s="55" t="s">
        <v>204</v>
      </c>
      <c r="C760" s="55" t="s">
        <v>246</v>
      </c>
      <c r="D760" s="55">
        <v>0</v>
      </c>
      <c r="E760" s="55" t="s">
        <v>506</v>
      </c>
      <c r="F760" s="55" t="s">
        <v>209</v>
      </c>
      <c r="G760" s="55" t="s">
        <v>217</v>
      </c>
      <c r="H760" s="56">
        <v>5.18</v>
      </c>
    </row>
    <row r="761" spans="1:8" ht="14">
      <c r="A761" s="54" t="s">
        <v>492</v>
      </c>
      <c r="B761" s="55" t="s">
        <v>204</v>
      </c>
      <c r="C761" s="55" t="s">
        <v>246</v>
      </c>
      <c r="D761" s="55">
        <v>0</v>
      </c>
      <c r="E761" s="55" t="s">
        <v>506</v>
      </c>
      <c r="F761" s="55" t="s">
        <v>209</v>
      </c>
      <c r="G761" s="55" t="s">
        <v>277</v>
      </c>
      <c r="H761" s="56">
        <v>5.1100000000000003</v>
      </c>
    </row>
    <row r="762" spans="1:8" ht="14">
      <c r="A762" s="54" t="s">
        <v>492</v>
      </c>
      <c r="B762" s="55" t="s">
        <v>204</v>
      </c>
      <c r="C762" s="55" t="s">
        <v>246</v>
      </c>
      <c r="D762" s="55" t="s">
        <v>247</v>
      </c>
      <c r="E762" s="55" t="s">
        <v>507</v>
      </c>
      <c r="F762" s="55" t="s">
        <v>207</v>
      </c>
      <c r="G762" s="55" t="s">
        <v>219</v>
      </c>
      <c r="H762" s="56">
        <v>5.65</v>
      </c>
    </row>
    <row r="763" spans="1:8" ht="14">
      <c r="A763" s="54" t="s">
        <v>492</v>
      </c>
      <c r="B763" s="55" t="s">
        <v>204</v>
      </c>
      <c r="C763" s="55" t="s">
        <v>246</v>
      </c>
      <c r="D763" s="55" t="s">
        <v>247</v>
      </c>
      <c r="E763" s="55" t="s">
        <v>507</v>
      </c>
      <c r="F763" s="55" t="s">
        <v>209</v>
      </c>
      <c r="G763" s="55" t="s">
        <v>362</v>
      </c>
      <c r="H763" s="56">
        <v>21.65</v>
      </c>
    </row>
    <row r="764" spans="1:8" ht="14">
      <c r="A764" s="54" t="s">
        <v>492</v>
      </c>
      <c r="B764" s="55" t="s">
        <v>204</v>
      </c>
      <c r="C764" s="55" t="s">
        <v>246</v>
      </c>
      <c r="D764" s="55" t="s">
        <v>247</v>
      </c>
      <c r="E764" s="55" t="s">
        <v>507</v>
      </c>
      <c r="F764" s="55" t="s">
        <v>209</v>
      </c>
      <c r="G764" s="55" t="s">
        <v>217</v>
      </c>
      <c r="H764" s="56">
        <v>9.58</v>
      </c>
    </row>
    <row r="765" spans="1:8" ht="14">
      <c r="A765" s="54" t="s">
        <v>492</v>
      </c>
      <c r="B765" s="55" t="s">
        <v>204</v>
      </c>
      <c r="C765" s="55" t="s">
        <v>246</v>
      </c>
      <c r="D765" s="55" t="s">
        <v>247</v>
      </c>
      <c r="E765" s="55" t="s">
        <v>507</v>
      </c>
      <c r="F765" s="55" t="s">
        <v>209</v>
      </c>
      <c r="G765" s="55" t="s">
        <v>220</v>
      </c>
      <c r="H765" s="56">
        <v>9.07</v>
      </c>
    </row>
    <row r="766" spans="1:8" ht="14">
      <c r="A766" s="54" t="s">
        <v>492</v>
      </c>
      <c r="B766" s="55" t="s">
        <v>204</v>
      </c>
      <c r="C766" s="55" t="s">
        <v>246</v>
      </c>
      <c r="D766" s="55" t="s">
        <v>247</v>
      </c>
      <c r="E766" s="55" t="s">
        <v>507</v>
      </c>
      <c r="F766" s="55" t="s">
        <v>209</v>
      </c>
      <c r="G766" s="55" t="s">
        <v>242</v>
      </c>
      <c r="H766" s="56">
        <v>8.56</v>
      </c>
    </row>
    <row r="767" spans="1:8" ht="14">
      <c r="A767" s="54" t="s">
        <v>492</v>
      </c>
      <c r="B767" s="55" t="s">
        <v>204</v>
      </c>
      <c r="C767" s="55" t="s">
        <v>246</v>
      </c>
      <c r="D767" s="55" t="s">
        <v>247</v>
      </c>
      <c r="E767" s="55" t="s">
        <v>508</v>
      </c>
      <c r="F767" s="55" t="s">
        <v>207</v>
      </c>
      <c r="G767" s="55" t="s">
        <v>219</v>
      </c>
      <c r="H767" s="56">
        <v>5.65</v>
      </c>
    </row>
    <row r="768" spans="1:8" ht="14">
      <c r="A768" s="54" t="s">
        <v>492</v>
      </c>
      <c r="B768" s="55" t="s">
        <v>204</v>
      </c>
      <c r="C768" s="55" t="s">
        <v>246</v>
      </c>
      <c r="D768" s="55" t="s">
        <v>247</v>
      </c>
      <c r="E768" s="55" t="s">
        <v>508</v>
      </c>
      <c r="F768" s="55" t="s">
        <v>209</v>
      </c>
      <c r="G768" s="55" t="s">
        <v>362</v>
      </c>
      <c r="H768" s="56">
        <v>21.65</v>
      </c>
    </row>
    <row r="769" spans="1:8" ht="14">
      <c r="A769" s="54" t="s">
        <v>492</v>
      </c>
      <c r="B769" s="55" t="s">
        <v>204</v>
      </c>
      <c r="C769" s="55" t="s">
        <v>246</v>
      </c>
      <c r="D769" s="55" t="s">
        <v>247</v>
      </c>
      <c r="E769" s="55" t="s">
        <v>508</v>
      </c>
      <c r="F769" s="55" t="s">
        <v>209</v>
      </c>
      <c r="G769" s="55" t="s">
        <v>217</v>
      </c>
      <c r="H769" s="56">
        <v>10.09</v>
      </c>
    </row>
    <row r="770" spans="1:8" ht="14">
      <c r="A770" s="54" t="s">
        <v>492</v>
      </c>
      <c r="B770" s="55" t="s">
        <v>204</v>
      </c>
      <c r="C770" s="55" t="s">
        <v>246</v>
      </c>
      <c r="D770" s="55" t="s">
        <v>247</v>
      </c>
      <c r="E770" s="55" t="s">
        <v>508</v>
      </c>
      <c r="F770" s="55" t="s">
        <v>209</v>
      </c>
      <c r="G770" s="55" t="s">
        <v>220</v>
      </c>
      <c r="H770" s="56">
        <v>9.58</v>
      </c>
    </row>
    <row r="771" spans="1:8" ht="14">
      <c r="A771" s="54" t="s">
        <v>492</v>
      </c>
      <c r="B771" s="55" t="s">
        <v>204</v>
      </c>
      <c r="C771" s="55" t="s">
        <v>246</v>
      </c>
      <c r="D771" s="55" t="s">
        <v>247</v>
      </c>
      <c r="E771" s="55" t="s">
        <v>508</v>
      </c>
      <c r="F771" s="55" t="s">
        <v>209</v>
      </c>
      <c r="G771" s="55" t="s">
        <v>242</v>
      </c>
      <c r="H771" s="56">
        <v>9.07</v>
      </c>
    </row>
    <row r="772" spans="1:8" ht="14">
      <c r="A772" s="54" t="s">
        <v>492</v>
      </c>
      <c r="B772" s="55" t="s">
        <v>204</v>
      </c>
      <c r="C772" s="55" t="s">
        <v>246</v>
      </c>
      <c r="D772" s="55" t="s">
        <v>247</v>
      </c>
      <c r="E772" s="55" t="s">
        <v>509</v>
      </c>
      <c r="F772" s="55" t="s">
        <v>207</v>
      </c>
      <c r="G772" s="55" t="s">
        <v>219</v>
      </c>
      <c r="H772" s="56">
        <v>5.65</v>
      </c>
    </row>
    <row r="773" spans="1:8" ht="14">
      <c r="A773" s="54" t="s">
        <v>492</v>
      </c>
      <c r="B773" s="55" t="s">
        <v>204</v>
      </c>
      <c r="C773" s="55" t="s">
        <v>246</v>
      </c>
      <c r="D773" s="55" t="s">
        <v>247</v>
      </c>
      <c r="E773" s="55" t="s">
        <v>509</v>
      </c>
      <c r="F773" s="55" t="s">
        <v>209</v>
      </c>
      <c r="G773" s="55" t="s">
        <v>362</v>
      </c>
      <c r="H773" s="56">
        <v>35.07</v>
      </c>
    </row>
    <row r="774" spans="1:8" ht="14">
      <c r="A774" s="54" t="s">
        <v>492</v>
      </c>
      <c r="B774" s="55" t="s">
        <v>204</v>
      </c>
      <c r="C774" s="55" t="s">
        <v>246</v>
      </c>
      <c r="D774" s="55" t="s">
        <v>247</v>
      </c>
      <c r="E774" s="55" t="s">
        <v>509</v>
      </c>
      <c r="F774" s="55" t="s">
        <v>209</v>
      </c>
      <c r="G774" s="55" t="s">
        <v>222</v>
      </c>
      <c r="H774" s="56">
        <v>14.03</v>
      </c>
    </row>
    <row r="775" spans="1:8" ht="14">
      <c r="A775" s="54" t="s">
        <v>492</v>
      </c>
      <c r="B775" s="55" t="s">
        <v>204</v>
      </c>
      <c r="C775" s="55" t="s">
        <v>246</v>
      </c>
      <c r="D775" s="55" t="s">
        <v>247</v>
      </c>
      <c r="E775" s="55" t="s">
        <v>509</v>
      </c>
      <c r="F775" s="55" t="s">
        <v>209</v>
      </c>
      <c r="G775" s="55" t="s">
        <v>237</v>
      </c>
      <c r="H775" s="56">
        <v>14.03</v>
      </c>
    </row>
    <row r="776" spans="1:8" ht="14">
      <c r="A776" s="54" t="s">
        <v>492</v>
      </c>
      <c r="B776" s="55" t="s">
        <v>204</v>
      </c>
      <c r="C776" s="55" t="s">
        <v>246</v>
      </c>
      <c r="D776" s="55" t="s">
        <v>247</v>
      </c>
      <c r="E776" s="55" t="s">
        <v>509</v>
      </c>
      <c r="F776" s="55" t="s">
        <v>209</v>
      </c>
      <c r="G776" s="55" t="s">
        <v>281</v>
      </c>
      <c r="H776" s="56">
        <v>11.1</v>
      </c>
    </row>
    <row r="777" spans="1:8" ht="14">
      <c r="A777" s="54" t="s">
        <v>492</v>
      </c>
      <c r="B777" s="55" t="s">
        <v>204</v>
      </c>
      <c r="C777" s="55" t="s">
        <v>246</v>
      </c>
      <c r="D777" s="55" t="s">
        <v>247</v>
      </c>
      <c r="E777" s="55" t="s">
        <v>509</v>
      </c>
      <c r="F777" s="55" t="s">
        <v>209</v>
      </c>
      <c r="G777" s="55" t="s">
        <v>277</v>
      </c>
      <c r="H777" s="56">
        <v>10.6</v>
      </c>
    </row>
    <row r="778" spans="1:8" ht="14">
      <c r="A778" s="54" t="s">
        <v>492</v>
      </c>
      <c r="B778" s="55" t="s">
        <v>204</v>
      </c>
      <c r="C778" s="55" t="s">
        <v>246</v>
      </c>
      <c r="D778" s="55" t="s">
        <v>247</v>
      </c>
      <c r="E778" s="55" t="s">
        <v>509</v>
      </c>
      <c r="F778" s="55" t="s">
        <v>209</v>
      </c>
      <c r="G778" s="55" t="s">
        <v>282</v>
      </c>
      <c r="H778" s="56">
        <v>10.09</v>
      </c>
    </row>
    <row r="779" spans="1:8" ht="14">
      <c r="A779" s="54" t="s">
        <v>492</v>
      </c>
      <c r="B779" s="55" t="s">
        <v>204</v>
      </c>
      <c r="C779" s="55" t="s">
        <v>246</v>
      </c>
      <c r="D779" s="55" t="s">
        <v>247</v>
      </c>
      <c r="E779" s="55" t="s">
        <v>509</v>
      </c>
      <c r="F779" s="55" t="s">
        <v>209</v>
      </c>
      <c r="G779" s="55" t="s">
        <v>510</v>
      </c>
      <c r="H779" s="56">
        <v>9.58</v>
      </c>
    </row>
    <row r="780" spans="1:8" ht="14">
      <c r="A780" s="54" t="s">
        <v>492</v>
      </c>
      <c r="B780" s="55" t="s">
        <v>204</v>
      </c>
      <c r="C780" s="55" t="s">
        <v>246</v>
      </c>
      <c r="D780" s="55" t="s">
        <v>247</v>
      </c>
      <c r="E780" s="55" t="s">
        <v>511</v>
      </c>
      <c r="F780" s="55" t="s">
        <v>207</v>
      </c>
      <c r="G780" s="55" t="s">
        <v>219</v>
      </c>
      <c r="H780" s="56">
        <v>5.65</v>
      </c>
    </row>
    <row r="781" spans="1:8" ht="14">
      <c r="A781" s="54" t="s">
        <v>492</v>
      </c>
      <c r="B781" s="55" t="s">
        <v>204</v>
      </c>
      <c r="C781" s="55" t="s">
        <v>246</v>
      </c>
      <c r="D781" s="55" t="s">
        <v>247</v>
      </c>
      <c r="E781" s="55" t="s">
        <v>511</v>
      </c>
      <c r="F781" s="55" t="s">
        <v>209</v>
      </c>
      <c r="G781" s="55" t="s">
        <v>362</v>
      </c>
      <c r="H781" s="56">
        <v>35.07</v>
      </c>
    </row>
    <row r="782" spans="1:8" ht="14">
      <c r="A782" s="54" t="s">
        <v>492</v>
      </c>
      <c r="B782" s="55" t="s">
        <v>204</v>
      </c>
      <c r="C782" s="55" t="s">
        <v>246</v>
      </c>
      <c r="D782" s="55" t="s">
        <v>247</v>
      </c>
      <c r="E782" s="55" t="s">
        <v>511</v>
      </c>
      <c r="F782" s="55" t="s">
        <v>209</v>
      </c>
      <c r="G782" s="55" t="s">
        <v>222</v>
      </c>
      <c r="H782" s="56">
        <v>14.81</v>
      </c>
    </row>
    <row r="783" spans="1:8" ht="14">
      <c r="A783" s="54" t="s">
        <v>492</v>
      </c>
      <c r="B783" s="55" t="s">
        <v>204</v>
      </c>
      <c r="C783" s="55" t="s">
        <v>246</v>
      </c>
      <c r="D783" s="55" t="s">
        <v>247</v>
      </c>
      <c r="E783" s="55" t="s">
        <v>511</v>
      </c>
      <c r="F783" s="55" t="s">
        <v>209</v>
      </c>
      <c r="G783" s="55" t="s">
        <v>237</v>
      </c>
      <c r="H783" s="56">
        <v>14.81</v>
      </c>
    </row>
    <row r="784" spans="1:8" ht="14">
      <c r="A784" s="54" t="s">
        <v>492</v>
      </c>
      <c r="B784" s="55" t="s">
        <v>204</v>
      </c>
      <c r="C784" s="55" t="s">
        <v>246</v>
      </c>
      <c r="D784" s="55" t="s">
        <v>247</v>
      </c>
      <c r="E784" s="55" t="s">
        <v>511</v>
      </c>
      <c r="F784" s="55" t="s">
        <v>209</v>
      </c>
      <c r="G784" s="55" t="s">
        <v>281</v>
      </c>
      <c r="H784" s="56">
        <v>11.61</v>
      </c>
    </row>
    <row r="785" spans="1:8" ht="14">
      <c r="A785" s="54" t="s">
        <v>492</v>
      </c>
      <c r="B785" s="55" t="s">
        <v>204</v>
      </c>
      <c r="C785" s="55" t="s">
        <v>246</v>
      </c>
      <c r="D785" s="55" t="s">
        <v>247</v>
      </c>
      <c r="E785" s="55" t="s">
        <v>511</v>
      </c>
      <c r="F785" s="55" t="s">
        <v>209</v>
      </c>
      <c r="G785" s="55" t="s">
        <v>277</v>
      </c>
      <c r="H785" s="56">
        <v>11.1</v>
      </c>
    </row>
    <row r="786" spans="1:8" ht="14">
      <c r="A786" s="54" t="s">
        <v>492</v>
      </c>
      <c r="B786" s="55" t="s">
        <v>204</v>
      </c>
      <c r="C786" s="55" t="s">
        <v>246</v>
      </c>
      <c r="D786" s="55" t="s">
        <v>247</v>
      </c>
      <c r="E786" s="55" t="s">
        <v>511</v>
      </c>
      <c r="F786" s="55" t="s">
        <v>209</v>
      </c>
      <c r="G786" s="55" t="s">
        <v>282</v>
      </c>
      <c r="H786" s="56">
        <v>10.6</v>
      </c>
    </row>
    <row r="787" spans="1:8" ht="14">
      <c r="A787" s="54" t="s">
        <v>492</v>
      </c>
      <c r="B787" s="55" t="s">
        <v>204</v>
      </c>
      <c r="C787" s="55" t="s">
        <v>246</v>
      </c>
      <c r="D787" s="55" t="s">
        <v>247</v>
      </c>
      <c r="E787" s="55" t="s">
        <v>511</v>
      </c>
      <c r="F787" s="55" t="s">
        <v>209</v>
      </c>
      <c r="G787" s="55" t="s">
        <v>510</v>
      </c>
      <c r="H787" s="56">
        <v>10.09</v>
      </c>
    </row>
    <row r="788" spans="1:8" ht="14">
      <c r="A788" s="54" t="s">
        <v>492</v>
      </c>
      <c r="B788" s="55" t="s">
        <v>204</v>
      </c>
      <c r="C788" s="55" t="s">
        <v>246</v>
      </c>
      <c r="D788" s="55" t="s">
        <v>247</v>
      </c>
      <c r="E788" s="55" t="s">
        <v>512</v>
      </c>
      <c r="F788" s="55" t="s">
        <v>207</v>
      </c>
      <c r="G788" s="55" t="s">
        <v>219</v>
      </c>
      <c r="H788" s="56">
        <v>5.65</v>
      </c>
    </row>
    <row r="789" spans="1:8" ht="14">
      <c r="A789" s="54" t="s">
        <v>492</v>
      </c>
      <c r="B789" s="55" t="s">
        <v>204</v>
      </c>
      <c r="C789" s="55" t="s">
        <v>246</v>
      </c>
      <c r="D789" s="55" t="s">
        <v>247</v>
      </c>
      <c r="E789" s="55" t="s">
        <v>512</v>
      </c>
      <c r="F789" s="55" t="s">
        <v>209</v>
      </c>
      <c r="G789" s="55" t="s">
        <v>362</v>
      </c>
      <c r="H789" s="56">
        <v>35.07</v>
      </c>
    </row>
    <row r="790" spans="1:8" ht="14">
      <c r="A790" s="54" t="s">
        <v>492</v>
      </c>
      <c r="B790" s="55" t="s">
        <v>204</v>
      </c>
      <c r="C790" s="55" t="s">
        <v>246</v>
      </c>
      <c r="D790" s="55" t="s">
        <v>247</v>
      </c>
      <c r="E790" s="55" t="s">
        <v>512</v>
      </c>
      <c r="F790" s="55" t="s">
        <v>209</v>
      </c>
      <c r="G790" s="55" t="s">
        <v>225</v>
      </c>
      <c r="H790" s="56">
        <v>10.09</v>
      </c>
    </row>
    <row r="791" spans="1:8" ht="14">
      <c r="A791" s="54" t="s">
        <v>492</v>
      </c>
      <c r="B791" s="55" t="s">
        <v>204</v>
      </c>
      <c r="C791" s="55" t="s">
        <v>246</v>
      </c>
      <c r="D791" s="55" t="s">
        <v>247</v>
      </c>
      <c r="E791" s="55" t="s">
        <v>512</v>
      </c>
      <c r="F791" s="55" t="s">
        <v>209</v>
      </c>
      <c r="G791" s="55" t="s">
        <v>229</v>
      </c>
      <c r="H791" s="56">
        <v>12.62</v>
      </c>
    </row>
    <row r="792" spans="1:8" ht="14">
      <c r="A792" s="54" t="s">
        <v>492</v>
      </c>
      <c r="B792" s="55" t="s">
        <v>204</v>
      </c>
      <c r="C792" s="55" t="s">
        <v>246</v>
      </c>
      <c r="D792" s="55" t="s">
        <v>247</v>
      </c>
      <c r="E792" s="55" t="s">
        <v>512</v>
      </c>
      <c r="F792" s="55" t="s">
        <v>209</v>
      </c>
      <c r="G792" s="55" t="s">
        <v>217</v>
      </c>
      <c r="H792" s="56">
        <v>9.07</v>
      </c>
    </row>
    <row r="793" spans="1:8" ht="14">
      <c r="A793" s="54" t="s">
        <v>492</v>
      </c>
      <c r="B793" s="55" t="s">
        <v>204</v>
      </c>
      <c r="C793" s="55" t="s">
        <v>246</v>
      </c>
      <c r="D793" s="55" t="s">
        <v>247</v>
      </c>
      <c r="E793" s="55" t="s">
        <v>512</v>
      </c>
      <c r="F793" s="55" t="s">
        <v>209</v>
      </c>
      <c r="G793" s="55" t="s">
        <v>220</v>
      </c>
      <c r="H793" s="56">
        <v>9.58</v>
      </c>
    </row>
    <row r="794" spans="1:8" ht="14">
      <c r="A794" s="54" t="s">
        <v>492</v>
      </c>
      <c r="B794" s="55" t="s">
        <v>204</v>
      </c>
      <c r="C794" s="55" t="s">
        <v>246</v>
      </c>
      <c r="D794" s="55" t="s">
        <v>247</v>
      </c>
      <c r="E794" s="55" t="s">
        <v>512</v>
      </c>
      <c r="F794" s="55" t="s">
        <v>209</v>
      </c>
      <c r="G794" s="55" t="s">
        <v>242</v>
      </c>
      <c r="H794" s="56">
        <v>10.09</v>
      </c>
    </row>
    <row r="795" spans="1:8" ht="14">
      <c r="A795" s="54" t="s">
        <v>492</v>
      </c>
      <c r="B795" s="55" t="s">
        <v>204</v>
      </c>
      <c r="C795" s="55" t="s">
        <v>246</v>
      </c>
      <c r="D795" s="55" t="s">
        <v>255</v>
      </c>
      <c r="E795" s="55" t="s">
        <v>513</v>
      </c>
      <c r="F795" s="55" t="s">
        <v>207</v>
      </c>
      <c r="G795" s="55" t="s">
        <v>261</v>
      </c>
      <c r="H795" s="56">
        <v>3.52</v>
      </c>
    </row>
    <row r="796" spans="1:8" ht="14">
      <c r="A796" s="54" t="s">
        <v>492</v>
      </c>
      <c r="B796" s="55" t="s">
        <v>204</v>
      </c>
      <c r="C796" s="55" t="s">
        <v>246</v>
      </c>
      <c r="D796" s="55" t="s">
        <v>255</v>
      </c>
      <c r="E796" s="55" t="s">
        <v>513</v>
      </c>
      <c r="F796" s="55" t="s">
        <v>209</v>
      </c>
      <c r="G796" s="55" t="s">
        <v>368</v>
      </c>
      <c r="H796" s="56">
        <v>17.41</v>
      </c>
    </row>
    <row r="797" spans="1:8" ht="14">
      <c r="A797" s="54" t="s">
        <v>492</v>
      </c>
      <c r="B797" s="55" t="s">
        <v>204</v>
      </c>
      <c r="C797" s="55" t="s">
        <v>246</v>
      </c>
      <c r="D797" s="55" t="s">
        <v>255</v>
      </c>
      <c r="E797" s="55" t="s">
        <v>513</v>
      </c>
      <c r="F797" s="55" t="s">
        <v>209</v>
      </c>
      <c r="G797" s="55" t="s">
        <v>262</v>
      </c>
      <c r="H797" s="56">
        <v>5.35</v>
      </c>
    </row>
    <row r="798" spans="1:8" ht="14">
      <c r="A798" s="54" t="s">
        <v>492</v>
      </c>
      <c r="B798" s="55" t="s">
        <v>204</v>
      </c>
      <c r="C798" s="55" t="s">
        <v>246</v>
      </c>
      <c r="D798" s="55" t="s">
        <v>255</v>
      </c>
      <c r="E798" s="55" t="s">
        <v>513</v>
      </c>
      <c r="F798" s="55" t="s">
        <v>209</v>
      </c>
      <c r="G798" s="55" t="s">
        <v>514</v>
      </c>
      <c r="H798" s="56">
        <v>5.69</v>
      </c>
    </row>
    <row r="799" spans="1:8" ht="14">
      <c r="A799" s="54" t="s">
        <v>492</v>
      </c>
      <c r="B799" s="55" t="s">
        <v>204</v>
      </c>
      <c r="C799" s="55" t="s">
        <v>246</v>
      </c>
      <c r="D799" s="55" t="s">
        <v>255</v>
      </c>
      <c r="E799" s="55" t="s">
        <v>515</v>
      </c>
      <c r="F799" s="55" t="s">
        <v>207</v>
      </c>
      <c r="G799" s="55" t="s">
        <v>261</v>
      </c>
      <c r="H799" s="56">
        <v>2.4700000000000002</v>
      </c>
    </row>
    <row r="800" spans="1:8" ht="14">
      <c r="A800" s="54" t="s">
        <v>492</v>
      </c>
      <c r="B800" s="55" t="s">
        <v>204</v>
      </c>
      <c r="C800" s="55" t="s">
        <v>246</v>
      </c>
      <c r="D800" s="55" t="s">
        <v>255</v>
      </c>
      <c r="E800" s="55" t="s">
        <v>515</v>
      </c>
      <c r="F800" s="55" t="s">
        <v>209</v>
      </c>
      <c r="G800" s="55" t="s">
        <v>368</v>
      </c>
      <c r="H800" s="56">
        <v>14.34</v>
      </c>
    </row>
    <row r="801" spans="1:8" ht="14">
      <c r="A801" s="54" t="s">
        <v>492</v>
      </c>
      <c r="B801" s="55" t="s">
        <v>204</v>
      </c>
      <c r="C801" s="55" t="s">
        <v>246</v>
      </c>
      <c r="D801" s="55" t="s">
        <v>255</v>
      </c>
      <c r="E801" s="55" t="s">
        <v>515</v>
      </c>
      <c r="F801" s="55" t="s">
        <v>209</v>
      </c>
      <c r="G801" s="55" t="s">
        <v>262</v>
      </c>
      <c r="H801" s="56">
        <v>4.7699999999999996</v>
      </c>
    </row>
    <row r="802" spans="1:8" ht="14">
      <c r="A802" s="54" t="s">
        <v>492</v>
      </c>
      <c r="B802" s="55" t="s">
        <v>204</v>
      </c>
      <c r="C802" s="55" t="s">
        <v>246</v>
      </c>
      <c r="D802" s="55" t="s">
        <v>255</v>
      </c>
      <c r="E802" s="55" t="s">
        <v>515</v>
      </c>
      <c r="F802" s="55" t="s">
        <v>209</v>
      </c>
      <c r="G802" s="55" t="s">
        <v>263</v>
      </c>
      <c r="H802" s="56">
        <v>5.01</v>
      </c>
    </row>
    <row r="803" spans="1:8" ht="14">
      <c r="A803" s="54" t="s">
        <v>492</v>
      </c>
      <c r="B803" s="55" t="s">
        <v>204</v>
      </c>
      <c r="C803" s="55" t="s">
        <v>246</v>
      </c>
      <c r="D803" s="55" t="s">
        <v>255</v>
      </c>
      <c r="E803" s="55" t="s">
        <v>516</v>
      </c>
      <c r="F803" s="55" t="s">
        <v>207</v>
      </c>
      <c r="G803" s="55" t="s">
        <v>261</v>
      </c>
      <c r="H803" s="56">
        <v>3.52</v>
      </c>
    </row>
    <row r="804" spans="1:8" ht="14">
      <c r="A804" s="54" t="s">
        <v>492</v>
      </c>
      <c r="B804" s="55" t="s">
        <v>204</v>
      </c>
      <c r="C804" s="55" t="s">
        <v>246</v>
      </c>
      <c r="D804" s="55" t="s">
        <v>255</v>
      </c>
      <c r="E804" s="55" t="s">
        <v>516</v>
      </c>
      <c r="F804" s="55" t="s">
        <v>209</v>
      </c>
      <c r="G804" s="55" t="s">
        <v>368</v>
      </c>
      <c r="H804" s="56">
        <v>21.65</v>
      </c>
    </row>
    <row r="805" spans="1:8" ht="14">
      <c r="A805" s="54" t="s">
        <v>492</v>
      </c>
      <c r="B805" s="55" t="s">
        <v>204</v>
      </c>
      <c r="C805" s="55" t="s">
        <v>246</v>
      </c>
      <c r="D805" s="55" t="s">
        <v>255</v>
      </c>
      <c r="E805" s="55" t="s">
        <v>516</v>
      </c>
      <c r="F805" s="55" t="s">
        <v>209</v>
      </c>
      <c r="G805" s="55" t="s">
        <v>262</v>
      </c>
      <c r="H805" s="56">
        <v>5.34</v>
      </c>
    </row>
    <row r="806" spans="1:8" ht="14">
      <c r="A806" s="54" t="s">
        <v>492</v>
      </c>
      <c r="B806" s="55" t="s">
        <v>204</v>
      </c>
      <c r="C806" s="55" t="s">
        <v>246</v>
      </c>
      <c r="D806" s="55" t="s">
        <v>255</v>
      </c>
      <c r="E806" s="55" t="s">
        <v>516</v>
      </c>
      <c r="F806" s="55" t="s">
        <v>209</v>
      </c>
      <c r="G806" s="55" t="s">
        <v>226</v>
      </c>
      <c r="H806" s="56">
        <v>5.62</v>
      </c>
    </row>
    <row r="807" spans="1:8" ht="14">
      <c r="A807" s="54" t="s">
        <v>492</v>
      </c>
      <c r="B807" s="55" t="s">
        <v>204</v>
      </c>
      <c r="C807" s="55" t="s">
        <v>246</v>
      </c>
      <c r="D807" s="55" t="s">
        <v>255</v>
      </c>
      <c r="E807" s="55" t="s">
        <v>517</v>
      </c>
      <c r="F807" s="55" t="s">
        <v>207</v>
      </c>
      <c r="G807" s="55" t="s">
        <v>261</v>
      </c>
      <c r="H807" s="56">
        <v>5.85</v>
      </c>
    </row>
    <row r="808" spans="1:8" ht="14">
      <c r="A808" s="54" t="s">
        <v>492</v>
      </c>
      <c r="B808" s="55" t="s">
        <v>204</v>
      </c>
      <c r="C808" s="55" t="s">
        <v>246</v>
      </c>
      <c r="D808" s="55" t="s">
        <v>255</v>
      </c>
      <c r="E808" s="55" t="s">
        <v>517</v>
      </c>
      <c r="F808" s="55" t="s">
        <v>209</v>
      </c>
      <c r="G808" s="55" t="s">
        <v>368</v>
      </c>
      <c r="H808" s="56">
        <v>21.65</v>
      </c>
    </row>
    <row r="809" spans="1:8" ht="14">
      <c r="A809" s="54" t="s">
        <v>492</v>
      </c>
      <c r="B809" s="55" t="s">
        <v>204</v>
      </c>
      <c r="C809" s="55" t="s">
        <v>246</v>
      </c>
      <c r="D809" s="55" t="s">
        <v>255</v>
      </c>
      <c r="E809" s="55" t="s">
        <v>517</v>
      </c>
      <c r="F809" s="55" t="s">
        <v>209</v>
      </c>
      <c r="G809" s="55" t="s">
        <v>262</v>
      </c>
      <c r="H809" s="56">
        <v>5.52</v>
      </c>
    </row>
    <row r="810" spans="1:8" ht="14">
      <c r="A810" s="54" t="s">
        <v>492</v>
      </c>
      <c r="B810" s="55" t="s">
        <v>204</v>
      </c>
      <c r="C810" s="55" t="s">
        <v>246</v>
      </c>
      <c r="D810" s="55" t="s">
        <v>255</v>
      </c>
      <c r="E810" s="55" t="s">
        <v>517</v>
      </c>
      <c r="F810" s="55" t="s">
        <v>209</v>
      </c>
      <c r="G810" s="55" t="s">
        <v>226</v>
      </c>
      <c r="H810" s="56">
        <v>5.86</v>
      </c>
    </row>
    <row r="811" spans="1:8" ht="14">
      <c r="A811" s="54" t="s">
        <v>492</v>
      </c>
      <c r="B811" s="55" t="s">
        <v>204</v>
      </c>
      <c r="C811" s="55" t="s">
        <v>246</v>
      </c>
      <c r="D811" s="55" t="s">
        <v>255</v>
      </c>
      <c r="E811" s="55" t="s">
        <v>518</v>
      </c>
      <c r="F811" s="55" t="s">
        <v>207</v>
      </c>
      <c r="G811" s="55" t="s">
        <v>261</v>
      </c>
      <c r="H811" s="56">
        <v>3.24</v>
      </c>
    </row>
    <row r="812" spans="1:8" ht="14">
      <c r="A812" s="54" t="s">
        <v>492</v>
      </c>
      <c r="B812" s="55" t="s">
        <v>204</v>
      </c>
      <c r="C812" s="55" t="s">
        <v>246</v>
      </c>
      <c r="D812" s="55" t="s">
        <v>255</v>
      </c>
      <c r="E812" s="55" t="s">
        <v>518</v>
      </c>
      <c r="F812" s="55" t="s">
        <v>209</v>
      </c>
      <c r="G812" s="55" t="s">
        <v>368</v>
      </c>
      <c r="H812" s="56">
        <v>13.17</v>
      </c>
    </row>
    <row r="813" spans="1:8" ht="14">
      <c r="A813" s="54" t="s">
        <v>492</v>
      </c>
      <c r="B813" s="55" t="s">
        <v>204</v>
      </c>
      <c r="C813" s="55" t="s">
        <v>246</v>
      </c>
      <c r="D813" s="55" t="s">
        <v>255</v>
      </c>
      <c r="E813" s="55" t="s">
        <v>518</v>
      </c>
      <c r="F813" s="55" t="s">
        <v>209</v>
      </c>
      <c r="G813" s="55" t="s">
        <v>262</v>
      </c>
      <c r="H813" s="56">
        <v>5.18</v>
      </c>
    </row>
    <row r="814" spans="1:8" ht="14">
      <c r="A814" s="54" t="s">
        <v>492</v>
      </c>
      <c r="B814" s="55" t="s">
        <v>204</v>
      </c>
      <c r="C814" s="55" t="s">
        <v>246</v>
      </c>
      <c r="D814" s="55" t="s">
        <v>255</v>
      </c>
      <c r="E814" s="55" t="s">
        <v>518</v>
      </c>
      <c r="F814" s="55" t="s">
        <v>209</v>
      </c>
      <c r="G814" s="55" t="s">
        <v>240</v>
      </c>
      <c r="H814" s="56">
        <v>5.35</v>
      </c>
    </row>
    <row r="815" spans="1:8" ht="14">
      <c r="A815" s="54" t="s">
        <v>492</v>
      </c>
      <c r="B815" s="55" t="s">
        <v>204</v>
      </c>
      <c r="C815" s="55" t="s">
        <v>246</v>
      </c>
      <c r="D815" s="55" t="s">
        <v>265</v>
      </c>
      <c r="E815" s="55" t="s">
        <v>519</v>
      </c>
      <c r="F815" s="55" t="s">
        <v>207</v>
      </c>
      <c r="G815" s="55" t="s">
        <v>261</v>
      </c>
      <c r="H815" s="56">
        <v>6.18</v>
      </c>
    </row>
    <row r="816" spans="1:8" ht="14">
      <c r="A816" s="54" t="s">
        <v>492</v>
      </c>
      <c r="B816" s="55" t="s">
        <v>204</v>
      </c>
      <c r="C816" s="55" t="s">
        <v>246</v>
      </c>
      <c r="D816" s="55" t="s">
        <v>265</v>
      </c>
      <c r="E816" s="55" t="s">
        <v>519</v>
      </c>
      <c r="F816" s="55" t="s">
        <v>209</v>
      </c>
      <c r="G816" s="55" t="s">
        <v>368</v>
      </c>
      <c r="H816" s="56">
        <v>17.93</v>
      </c>
    </row>
    <row r="817" spans="1:8" ht="14">
      <c r="A817" s="54" t="s">
        <v>492</v>
      </c>
      <c r="B817" s="55" t="s">
        <v>204</v>
      </c>
      <c r="C817" s="55" t="s">
        <v>246</v>
      </c>
      <c r="D817" s="55" t="s">
        <v>265</v>
      </c>
      <c r="E817" s="55" t="s">
        <v>519</v>
      </c>
      <c r="F817" s="55" t="s">
        <v>209</v>
      </c>
      <c r="G817" s="55" t="s">
        <v>220</v>
      </c>
      <c r="H817" s="56">
        <v>7.22</v>
      </c>
    </row>
    <row r="818" spans="1:8" ht="14">
      <c r="A818" s="54" t="s">
        <v>492</v>
      </c>
      <c r="B818" s="55" t="s">
        <v>204</v>
      </c>
      <c r="C818" s="55" t="s">
        <v>246</v>
      </c>
      <c r="D818" s="55" t="s">
        <v>265</v>
      </c>
      <c r="E818" s="55" t="s">
        <v>519</v>
      </c>
      <c r="F818" s="55" t="s">
        <v>209</v>
      </c>
      <c r="G818" s="55" t="s">
        <v>262</v>
      </c>
      <c r="H818" s="56">
        <v>6.54</v>
      </c>
    </row>
    <row r="819" spans="1:8" ht="14">
      <c r="A819" s="54" t="s">
        <v>492</v>
      </c>
      <c r="B819" s="55" t="s">
        <v>204</v>
      </c>
      <c r="C819" s="55" t="s">
        <v>246</v>
      </c>
      <c r="D819" s="55" t="s">
        <v>265</v>
      </c>
      <c r="E819" s="55" t="s">
        <v>519</v>
      </c>
      <c r="F819" s="55" t="s">
        <v>209</v>
      </c>
      <c r="G819" s="55" t="s">
        <v>240</v>
      </c>
      <c r="H819" s="56">
        <v>6.88</v>
      </c>
    </row>
    <row r="820" spans="1:8" ht="14">
      <c r="A820" s="54" t="s">
        <v>492</v>
      </c>
      <c r="B820" s="55" t="s">
        <v>204</v>
      </c>
      <c r="C820" s="55" t="s">
        <v>246</v>
      </c>
      <c r="D820" s="55" t="s">
        <v>265</v>
      </c>
      <c r="E820" s="55" t="s">
        <v>520</v>
      </c>
      <c r="F820" s="55" t="s">
        <v>207</v>
      </c>
      <c r="G820" s="55" t="s">
        <v>219</v>
      </c>
      <c r="H820" s="56">
        <v>7.15</v>
      </c>
    </row>
    <row r="821" spans="1:8" ht="14">
      <c r="A821" s="54" t="s">
        <v>492</v>
      </c>
      <c r="B821" s="55" t="s">
        <v>204</v>
      </c>
      <c r="C821" s="55" t="s">
        <v>246</v>
      </c>
      <c r="D821" s="55" t="s">
        <v>265</v>
      </c>
      <c r="E821" s="55" t="s">
        <v>520</v>
      </c>
      <c r="F821" s="55" t="s">
        <v>209</v>
      </c>
      <c r="G821" s="55" t="s">
        <v>362</v>
      </c>
      <c r="H821" s="56">
        <v>23.77</v>
      </c>
    </row>
    <row r="822" spans="1:8" ht="14">
      <c r="A822" s="54" t="s">
        <v>492</v>
      </c>
      <c r="B822" s="55" t="s">
        <v>204</v>
      </c>
      <c r="C822" s="55" t="s">
        <v>246</v>
      </c>
      <c r="D822" s="55" t="s">
        <v>265</v>
      </c>
      <c r="E822" s="55" t="s">
        <v>520</v>
      </c>
      <c r="F822" s="55" t="s">
        <v>209</v>
      </c>
      <c r="G822" s="55" t="s">
        <v>217</v>
      </c>
      <c r="H822" s="56">
        <v>7.56</v>
      </c>
    </row>
    <row r="823" spans="1:8" ht="14">
      <c r="A823" s="54" t="s">
        <v>492</v>
      </c>
      <c r="B823" s="55" t="s">
        <v>204</v>
      </c>
      <c r="C823" s="55" t="s">
        <v>246</v>
      </c>
      <c r="D823" s="55" t="s">
        <v>265</v>
      </c>
      <c r="E823" s="55" t="s">
        <v>520</v>
      </c>
      <c r="F823" s="55" t="s">
        <v>209</v>
      </c>
      <c r="G823" s="55" t="s">
        <v>220</v>
      </c>
      <c r="H823" s="56">
        <v>8.24</v>
      </c>
    </row>
    <row r="824" spans="1:8" ht="14">
      <c r="A824" s="54" t="s">
        <v>492</v>
      </c>
      <c r="B824" s="55" t="s">
        <v>204</v>
      </c>
      <c r="C824" s="55" t="s">
        <v>246</v>
      </c>
      <c r="D824" s="55" t="s">
        <v>265</v>
      </c>
      <c r="E824" s="55" t="s">
        <v>520</v>
      </c>
      <c r="F824" s="55" t="s">
        <v>209</v>
      </c>
      <c r="G824" s="55" t="s">
        <v>240</v>
      </c>
      <c r="H824" s="56">
        <v>7.9</v>
      </c>
    </row>
    <row r="825" spans="1:8" ht="14">
      <c r="A825" s="54" t="s">
        <v>492</v>
      </c>
      <c r="B825" s="55" t="s">
        <v>204</v>
      </c>
      <c r="C825" s="55" t="s">
        <v>246</v>
      </c>
      <c r="D825" s="55" t="s">
        <v>265</v>
      </c>
      <c r="E825" s="55" t="s">
        <v>521</v>
      </c>
      <c r="F825" s="55" t="s">
        <v>207</v>
      </c>
      <c r="G825" s="55" t="s">
        <v>261</v>
      </c>
      <c r="H825" s="56">
        <v>3.8</v>
      </c>
    </row>
    <row r="826" spans="1:8" ht="14">
      <c r="A826" s="54" t="s">
        <v>492</v>
      </c>
      <c r="B826" s="55" t="s">
        <v>204</v>
      </c>
      <c r="C826" s="55" t="s">
        <v>246</v>
      </c>
      <c r="D826" s="55" t="s">
        <v>265</v>
      </c>
      <c r="E826" s="55" t="s">
        <v>521</v>
      </c>
      <c r="F826" s="55" t="s">
        <v>209</v>
      </c>
      <c r="G826" s="55" t="s">
        <v>368</v>
      </c>
      <c r="H826" s="56">
        <v>21.65</v>
      </c>
    </row>
    <row r="827" spans="1:8" ht="14">
      <c r="A827" s="54" t="s">
        <v>492</v>
      </c>
      <c r="B827" s="55" t="s">
        <v>204</v>
      </c>
      <c r="C827" s="55" t="s">
        <v>246</v>
      </c>
      <c r="D827" s="55" t="s">
        <v>265</v>
      </c>
      <c r="E827" s="55" t="s">
        <v>521</v>
      </c>
      <c r="F827" s="55" t="s">
        <v>209</v>
      </c>
      <c r="G827" s="55" t="s">
        <v>220</v>
      </c>
      <c r="H827" s="56">
        <v>7.22</v>
      </c>
    </row>
    <row r="828" spans="1:8" ht="14">
      <c r="A828" s="54" t="s">
        <v>492</v>
      </c>
      <c r="B828" s="55" t="s">
        <v>204</v>
      </c>
      <c r="C828" s="55" t="s">
        <v>246</v>
      </c>
      <c r="D828" s="55" t="s">
        <v>265</v>
      </c>
      <c r="E828" s="55" t="s">
        <v>521</v>
      </c>
      <c r="F828" s="55" t="s">
        <v>209</v>
      </c>
      <c r="G828" s="55" t="s">
        <v>262</v>
      </c>
      <c r="H828" s="56">
        <v>5.76</v>
      </c>
    </row>
    <row r="829" spans="1:8" ht="14">
      <c r="A829" s="54" t="s">
        <v>492</v>
      </c>
      <c r="B829" s="55" t="s">
        <v>204</v>
      </c>
      <c r="C829" s="55" t="s">
        <v>246</v>
      </c>
      <c r="D829" s="55" t="s">
        <v>265</v>
      </c>
      <c r="E829" s="55" t="s">
        <v>521</v>
      </c>
      <c r="F829" s="55" t="s">
        <v>209</v>
      </c>
      <c r="G829" s="55" t="s">
        <v>226</v>
      </c>
      <c r="H829" s="56">
        <v>6.04</v>
      </c>
    </row>
    <row r="830" spans="1:8" ht="14">
      <c r="A830" s="54" t="s">
        <v>492</v>
      </c>
      <c r="B830" s="55" t="s">
        <v>204</v>
      </c>
      <c r="C830" s="55" t="s">
        <v>246</v>
      </c>
      <c r="D830" s="55" t="s">
        <v>265</v>
      </c>
      <c r="E830" s="55" t="s">
        <v>522</v>
      </c>
      <c r="F830" s="55" t="s">
        <v>207</v>
      </c>
      <c r="G830" s="55" t="s">
        <v>261</v>
      </c>
      <c r="H830" s="56">
        <v>4.2300000000000004</v>
      </c>
    </row>
    <row r="831" spans="1:8" ht="14">
      <c r="A831" s="54" t="s">
        <v>492</v>
      </c>
      <c r="B831" s="55" t="s">
        <v>204</v>
      </c>
      <c r="C831" s="55" t="s">
        <v>246</v>
      </c>
      <c r="D831" s="55" t="s">
        <v>265</v>
      </c>
      <c r="E831" s="55" t="s">
        <v>522</v>
      </c>
      <c r="F831" s="55" t="s">
        <v>209</v>
      </c>
      <c r="G831" s="55" t="s">
        <v>368</v>
      </c>
      <c r="H831" s="56">
        <v>21.65</v>
      </c>
    </row>
    <row r="832" spans="1:8" ht="14">
      <c r="A832" s="54" t="s">
        <v>492</v>
      </c>
      <c r="B832" s="55" t="s">
        <v>204</v>
      </c>
      <c r="C832" s="55" t="s">
        <v>246</v>
      </c>
      <c r="D832" s="55" t="s">
        <v>265</v>
      </c>
      <c r="E832" s="55" t="s">
        <v>522</v>
      </c>
      <c r="F832" s="55" t="s">
        <v>209</v>
      </c>
      <c r="G832" s="55" t="s">
        <v>220</v>
      </c>
      <c r="H832" s="56">
        <v>7.56</v>
      </c>
    </row>
    <row r="833" spans="1:8" ht="14">
      <c r="A833" s="54" t="s">
        <v>492</v>
      </c>
      <c r="B833" s="55" t="s">
        <v>204</v>
      </c>
      <c r="C833" s="55" t="s">
        <v>246</v>
      </c>
      <c r="D833" s="55" t="s">
        <v>265</v>
      </c>
      <c r="E833" s="55" t="s">
        <v>522</v>
      </c>
      <c r="F833" s="55" t="s">
        <v>209</v>
      </c>
      <c r="G833" s="55" t="s">
        <v>262</v>
      </c>
      <c r="H833" s="56">
        <v>6.88</v>
      </c>
    </row>
    <row r="834" spans="1:8" ht="14">
      <c r="A834" s="54" t="s">
        <v>492</v>
      </c>
      <c r="B834" s="55" t="s">
        <v>204</v>
      </c>
      <c r="C834" s="55" t="s">
        <v>246</v>
      </c>
      <c r="D834" s="55" t="s">
        <v>265</v>
      </c>
      <c r="E834" s="55" t="s">
        <v>522</v>
      </c>
      <c r="F834" s="55" t="s">
        <v>209</v>
      </c>
      <c r="G834" s="55" t="s">
        <v>226</v>
      </c>
      <c r="H834" s="56">
        <v>7.22</v>
      </c>
    </row>
    <row r="835" spans="1:8" ht="14">
      <c r="A835" s="54" t="s">
        <v>492</v>
      </c>
      <c r="B835" s="55" t="s">
        <v>204</v>
      </c>
      <c r="C835" s="55" t="s">
        <v>246</v>
      </c>
      <c r="D835" s="55" t="s">
        <v>265</v>
      </c>
      <c r="E835" s="55" t="s">
        <v>523</v>
      </c>
      <c r="F835" s="55" t="s">
        <v>207</v>
      </c>
      <c r="G835" s="55" t="s">
        <v>261</v>
      </c>
      <c r="H835" s="56">
        <v>6.36</v>
      </c>
    </row>
    <row r="836" spans="1:8" ht="14">
      <c r="A836" s="54" t="s">
        <v>492</v>
      </c>
      <c r="B836" s="55" t="s">
        <v>204</v>
      </c>
      <c r="C836" s="55" t="s">
        <v>246</v>
      </c>
      <c r="D836" s="55" t="s">
        <v>265</v>
      </c>
      <c r="E836" s="55" t="s">
        <v>523</v>
      </c>
      <c r="F836" s="55" t="s">
        <v>209</v>
      </c>
      <c r="G836" s="55" t="s">
        <v>368</v>
      </c>
      <c r="H836" s="56">
        <v>21.65</v>
      </c>
    </row>
    <row r="837" spans="1:8" ht="14">
      <c r="A837" s="54" t="s">
        <v>492</v>
      </c>
      <c r="B837" s="55" t="s">
        <v>204</v>
      </c>
      <c r="C837" s="55" t="s">
        <v>246</v>
      </c>
      <c r="D837" s="55" t="s">
        <v>265</v>
      </c>
      <c r="E837" s="55" t="s">
        <v>523</v>
      </c>
      <c r="F837" s="55" t="s">
        <v>209</v>
      </c>
      <c r="G837" s="55" t="s">
        <v>220</v>
      </c>
      <c r="H837" s="56">
        <v>8.56</v>
      </c>
    </row>
    <row r="838" spans="1:8" ht="14">
      <c r="A838" s="54" t="s">
        <v>492</v>
      </c>
      <c r="B838" s="55" t="s">
        <v>204</v>
      </c>
      <c r="C838" s="55" t="s">
        <v>246</v>
      </c>
      <c r="D838" s="55" t="s">
        <v>265</v>
      </c>
      <c r="E838" s="55" t="s">
        <v>523</v>
      </c>
      <c r="F838" s="55" t="s">
        <v>209</v>
      </c>
      <c r="G838" s="55" t="s">
        <v>262</v>
      </c>
      <c r="H838" s="56">
        <v>7.9</v>
      </c>
    </row>
    <row r="839" spans="1:8" ht="14">
      <c r="A839" s="54" t="s">
        <v>492</v>
      </c>
      <c r="B839" s="55" t="s">
        <v>204</v>
      </c>
      <c r="C839" s="55" t="s">
        <v>246</v>
      </c>
      <c r="D839" s="55" t="s">
        <v>265</v>
      </c>
      <c r="E839" s="55" t="s">
        <v>523</v>
      </c>
      <c r="F839" s="55" t="s">
        <v>209</v>
      </c>
      <c r="G839" s="55" t="s">
        <v>226</v>
      </c>
      <c r="H839" s="56">
        <v>8.24</v>
      </c>
    </row>
    <row r="840" spans="1:8" ht="14">
      <c r="A840" s="54" t="s">
        <v>492</v>
      </c>
      <c r="B840" s="55" t="s">
        <v>204</v>
      </c>
      <c r="C840" s="55" t="s">
        <v>246</v>
      </c>
      <c r="D840" s="55" t="s">
        <v>265</v>
      </c>
      <c r="E840" s="55" t="s">
        <v>524</v>
      </c>
      <c r="F840" s="55" t="s">
        <v>207</v>
      </c>
      <c r="G840" s="55" t="s">
        <v>261</v>
      </c>
      <c r="H840" s="56">
        <v>5.65</v>
      </c>
    </row>
    <row r="841" spans="1:8" ht="14">
      <c r="A841" s="54" t="s">
        <v>492</v>
      </c>
      <c r="B841" s="55" t="s">
        <v>204</v>
      </c>
      <c r="C841" s="55" t="s">
        <v>246</v>
      </c>
      <c r="D841" s="55" t="s">
        <v>265</v>
      </c>
      <c r="E841" s="55" t="s">
        <v>524</v>
      </c>
      <c r="F841" s="55" t="s">
        <v>209</v>
      </c>
      <c r="G841" s="55" t="s">
        <v>368</v>
      </c>
      <c r="H841" s="56">
        <v>35.07</v>
      </c>
    </row>
    <row r="842" spans="1:8" ht="14">
      <c r="A842" s="54" t="s">
        <v>492</v>
      </c>
      <c r="B842" s="55" t="s">
        <v>204</v>
      </c>
      <c r="C842" s="55" t="s">
        <v>246</v>
      </c>
      <c r="D842" s="55" t="s">
        <v>265</v>
      </c>
      <c r="E842" s="55" t="s">
        <v>524</v>
      </c>
      <c r="F842" s="55" t="s">
        <v>209</v>
      </c>
      <c r="G842" s="55" t="s">
        <v>220</v>
      </c>
      <c r="H842" s="56">
        <v>9.58</v>
      </c>
    </row>
    <row r="843" spans="1:8" ht="14">
      <c r="A843" s="54" t="s">
        <v>492</v>
      </c>
      <c r="B843" s="55" t="s">
        <v>204</v>
      </c>
      <c r="C843" s="55" t="s">
        <v>246</v>
      </c>
      <c r="D843" s="55" t="s">
        <v>265</v>
      </c>
      <c r="E843" s="55" t="s">
        <v>524</v>
      </c>
      <c r="F843" s="55" t="s">
        <v>209</v>
      </c>
      <c r="G843" s="55" t="s">
        <v>262</v>
      </c>
      <c r="H843" s="56">
        <v>8.56</v>
      </c>
    </row>
    <row r="844" spans="1:8" ht="14">
      <c r="A844" s="54" t="s">
        <v>492</v>
      </c>
      <c r="B844" s="55" t="s">
        <v>204</v>
      </c>
      <c r="C844" s="55" t="s">
        <v>246</v>
      </c>
      <c r="D844" s="55" t="s">
        <v>265</v>
      </c>
      <c r="E844" s="55" t="s">
        <v>525</v>
      </c>
      <c r="F844" s="55" t="s">
        <v>207</v>
      </c>
      <c r="G844" s="55" t="s">
        <v>261</v>
      </c>
      <c r="H844" s="56">
        <v>5.65</v>
      </c>
    </row>
    <row r="845" spans="1:8" ht="14">
      <c r="A845" s="54" t="s">
        <v>492</v>
      </c>
      <c r="B845" s="55" t="s">
        <v>204</v>
      </c>
      <c r="C845" s="55" t="s">
        <v>246</v>
      </c>
      <c r="D845" s="55" t="s">
        <v>265</v>
      </c>
      <c r="E845" s="55" t="s">
        <v>525</v>
      </c>
      <c r="F845" s="55" t="s">
        <v>209</v>
      </c>
      <c r="G845" s="55" t="s">
        <v>368</v>
      </c>
      <c r="H845" s="56">
        <v>21.65</v>
      </c>
    </row>
    <row r="846" spans="1:8" ht="14">
      <c r="A846" s="54" t="s">
        <v>492</v>
      </c>
      <c r="B846" s="55" t="s">
        <v>204</v>
      </c>
      <c r="C846" s="55" t="s">
        <v>246</v>
      </c>
      <c r="D846" s="55" t="s">
        <v>265</v>
      </c>
      <c r="E846" s="55" t="s">
        <v>525</v>
      </c>
      <c r="F846" s="55" t="s">
        <v>209</v>
      </c>
      <c r="G846" s="55" t="s">
        <v>220</v>
      </c>
      <c r="H846" s="56">
        <v>7.9</v>
      </c>
    </row>
    <row r="847" spans="1:8" ht="14">
      <c r="A847" s="54" t="s">
        <v>492</v>
      </c>
      <c r="B847" s="55" t="s">
        <v>204</v>
      </c>
      <c r="C847" s="55" t="s">
        <v>246</v>
      </c>
      <c r="D847" s="55" t="s">
        <v>265</v>
      </c>
      <c r="E847" s="55" t="s">
        <v>525</v>
      </c>
      <c r="F847" s="55" t="s">
        <v>209</v>
      </c>
      <c r="G847" s="55" t="s">
        <v>262</v>
      </c>
      <c r="H847" s="56">
        <v>7.22</v>
      </c>
    </row>
    <row r="848" spans="1:8" ht="14">
      <c r="A848" s="54" t="s">
        <v>492</v>
      </c>
      <c r="B848" s="55" t="s">
        <v>204</v>
      </c>
      <c r="C848" s="55" t="s">
        <v>246</v>
      </c>
      <c r="D848" s="55" t="s">
        <v>265</v>
      </c>
      <c r="E848" s="55" t="s">
        <v>525</v>
      </c>
      <c r="F848" s="55" t="s">
        <v>209</v>
      </c>
      <c r="G848" s="55" t="s">
        <v>226</v>
      </c>
      <c r="H848" s="56">
        <v>7.56</v>
      </c>
    </row>
    <row r="849" spans="1:8" ht="14">
      <c r="A849" s="54" t="s">
        <v>492</v>
      </c>
      <c r="B849" s="55" t="s">
        <v>204</v>
      </c>
      <c r="C849" s="55" t="s">
        <v>246</v>
      </c>
      <c r="D849" s="55" t="s">
        <v>265</v>
      </c>
      <c r="E849" s="55" t="s">
        <v>526</v>
      </c>
      <c r="F849" s="55" t="s">
        <v>207</v>
      </c>
      <c r="G849" s="55" t="s">
        <v>219</v>
      </c>
      <c r="H849" s="56">
        <v>5.85</v>
      </c>
    </row>
    <row r="850" spans="1:8" ht="14">
      <c r="A850" s="54" t="s">
        <v>492</v>
      </c>
      <c r="B850" s="55" t="s">
        <v>204</v>
      </c>
      <c r="C850" s="55" t="s">
        <v>246</v>
      </c>
      <c r="D850" s="55" t="s">
        <v>265</v>
      </c>
      <c r="E850" s="55" t="s">
        <v>526</v>
      </c>
      <c r="F850" s="55" t="s">
        <v>209</v>
      </c>
      <c r="G850" s="55" t="s">
        <v>362</v>
      </c>
      <c r="H850" s="56">
        <v>16.62</v>
      </c>
    </row>
    <row r="851" spans="1:8" ht="14">
      <c r="A851" s="54" t="s">
        <v>492</v>
      </c>
      <c r="B851" s="55" t="s">
        <v>204</v>
      </c>
      <c r="C851" s="55" t="s">
        <v>246</v>
      </c>
      <c r="D851" s="55" t="s">
        <v>265</v>
      </c>
      <c r="E851" s="55" t="s">
        <v>526</v>
      </c>
      <c r="F851" s="55" t="s">
        <v>209</v>
      </c>
      <c r="G851" s="55" t="s">
        <v>217</v>
      </c>
      <c r="H851" s="56">
        <v>6.2</v>
      </c>
    </row>
    <row r="852" spans="1:8" ht="14">
      <c r="A852" s="54" t="s">
        <v>492</v>
      </c>
      <c r="B852" s="55" t="s">
        <v>204</v>
      </c>
      <c r="C852" s="55" t="s">
        <v>246</v>
      </c>
      <c r="D852" s="55" t="s">
        <v>265</v>
      </c>
      <c r="E852" s="55" t="s">
        <v>526</v>
      </c>
      <c r="F852" s="55" t="s">
        <v>209</v>
      </c>
      <c r="G852" s="55" t="s">
        <v>220</v>
      </c>
      <c r="H852" s="56">
        <v>6.88</v>
      </c>
    </row>
    <row r="853" spans="1:8" ht="14">
      <c r="A853" s="54" t="s">
        <v>492</v>
      </c>
      <c r="B853" s="55" t="s">
        <v>204</v>
      </c>
      <c r="C853" s="55" t="s">
        <v>246</v>
      </c>
      <c r="D853" s="55" t="s">
        <v>265</v>
      </c>
      <c r="E853" s="55" t="s">
        <v>526</v>
      </c>
      <c r="F853" s="55" t="s">
        <v>209</v>
      </c>
      <c r="G853" s="55" t="s">
        <v>226</v>
      </c>
      <c r="H853" s="56">
        <v>6.88</v>
      </c>
    </row>
    <row r="854" spans="1:8" ht="14">
      <c r="A854" s="54" t="s">
        <v>492</v>
      </c>
      <c r="B854" s="55" t="s">
        <v>204</v>
      </c>
      <c r="C854" s="55" t="s">
        <v>246</v>
      </c>
      <c r="D854" s="55" t="s">
        <v>265</v>
      </c>
      <c r="E854" s="55" t="s">
        <v>527</v>
      </c>
      <c r="F854" s="55" t="s">
        <v>207</v>
      </c>
      <c r="G854" s="55" t="s">
        <v>261</v>
      </c>
      <c r="H854" s="56">
        <v>2.83</v>
      </c>
    </row>
    <row r="855" spans="1:8" ht="14">
      <c r="A855" s="54" t="s">
        <v>492</v>
      </c>
      <c r="B855" s="55" t="s">
        <v>204</v>
      </c>
      <c r="C855" s="55" t="s">
        <v>246</v>
      </c>
      <c r="D855" s="55" t="s">
        <v>265</v>
      </c>
      <c r="E855" s="55" t="s">
        <v>527</v>
      </c>
      <c r="F855" s="55" t="s">
        <v>209</v>
      </c>
      <c r="G855" s="55" t="s">
        <v>368</v>
      </c>
      <c r="H855" s="56">
        <v>14.34</v>
      </c>
    </row>
    <row r="856" spans="1:8" ht="14">
      <c r="A856" s="54" t="s">
        <v>492</v>
      </c>
      <c r="B856" s="55" t="s">
        <v>204</v>
      </c>
      <c r="C856" s="55" t="s">
        <v>246</v>
      </c>
      <c r="D856" s="55" t="s">
        <v>265</v>
      </c>
      <c r="E856" s="55" t="s">
        <v>527</v>
      </c>
      <c r="F856" s="55" t="s">
        <v>209</v>
      </c>
      <c r="G856" s="55" t="s">
        <v>220</v>
      </c>
      <c r="H856" s="56">
        <v>6.2</v>
      </c>
    </row>
    <row r="857" spans="1:8" ht="14">
      <c r="A857" s="54" t="s">
        <v>492</v>
      </c>
      <c r="B857" s="55" t="s">
        <v>204</v>
      </c>
      <c r="C857" s="55" t="s">
        <v>246</v>
      </c>
      <c r="D857" s="55" t="s">
        <v>265</v>
      </c>
      <c r="E857" s="55" t="s">
        <v>527</v>
      </c>
      <c r="F857" s="55" t="s">
        <v>209</v>
      </c>
      <c r="G857" s="55" t="s">
        <v>262</v>
      </c>
      <c r="H857" s="56">
        <v>5.52</v>
      </c>
    </row>
    <row r="858" spans="1:8" ht="14">
      <c r="A858" s="54" t="s">
        <v>492</v>
      </c>
      <c r="B858" s="55" t="s">
        <v>204</v>
      </c>
      <c r="C858" s="55" t="s">
        <v>246</v>
      </c>
      <c r="D858" s="55" t="s">
        <v>265</v>
      </c>
      <c r="E858" s="55" t="s">
        <v>527</v>
      </c>
      <c r="F858" s="55" t="s">
        <v>209</v>
      </c>
      <c r="G858" s="55" t="s">
        <v>226</v>
      </c>
      <c r="H858" s="56">
        <v>6.37</v>
      </c>
    </row>
    <row r="859" spans="1:8" ht="14">
      <c r="A859" s="54" t="s">
        <v>492</v>
      </c>
      <c r="B859" s="55" t="s">
        <v>204</v>
      </c>
      <c r="C859" s="55" t="s">
        <v>246</v>
      </c>
      <c r="D859" s="55" t="s">
        <v>284</v>
      </c>
      <c r="E859" s="55" t="s">
        <v>528</v>
      </c>
      <c r="F859" s="55" t="s">
        <v>207</v>
      </c>
      <c r="G859" s="55" t="s">
        <v>219</v>
      </c>
      <c r="H859" s="56">
        <v>8.1300000000000008</v>
      </c>
    </row>
    <row r="860" spans="1:8" ht="14">
      <c r="A860" s="54" t="s">
        <v>492</v>
      </c>
      <c r="B860" s="55" t="s">
        <v>204</v>
      </c>
      <c r="C860" s="55" t="s">
        <v>246</v>
      </c>
      <c r="D860" s="55" t="s">
        <v>284</v>
      </c>
      <c r="E860" s="55" t="s">
        <v>528</v>
      </c>
      <c r="F860" s="55" t="s">
        <v>209</v>
      </c>
      <c r="G860" s="55" t="s">
        <v>362</v>
      </c>
      <c r="H860" s="56">
        <v>46.52</v>
      </c>
    </row>
    <row r="861" spans="1:8" ht="14">
      <c r="A861" s="54" t="s">
        <v>492</v>
      </c>
      <c r="B861" s="55" t="s">
        <v>204</v>
      </c>
      <c r="C861" s="55" t="s">
        <v>246</v>
      </c>
      <c r="D861" s="55" t="s">
        <v>284</v>
      </c>
      <c r="E861" s="55" t="s">
        <v>528</v>
      </c>
      <c r="F861" s="55" t="s">
        <v>209</v>
      </c>
      <c r="G861" s="55" t="s">
        <v>217</v>
      </c>
      <c r="H861" s="56">
        <v>11.61</v>
      </c>
    </row>
    <row r="862" spans="1:8" ht="14">
      <c r="A862" s="54" t="s">
        <v>492</v>
      </c>
      <c r="B862" s="55" t="s">
        <v>204</v>
      </c>
      <c r="C862" s="55" t="s">
        <v>246</v>
      </c>
      <c r="D862" s="55" t="s">
        <v>284</v>
      </c>
      <c r="E862" s="55" t="s">
        <v>528</v>
      </c>
      <c r="F862" s="55" t="s">
        <v>209</v>
      </c>
      <c r="G862" s="55" t="s">
        <v>220</v>
      </c>
      <c r="H862" s="56">
        <v>12.12</v>
      </c>
    </row>
    <row r="863" spans="1:8" ht="14">
      <c r="A863" s="54" t="s">
        <v>492</v>
      </c>
      <c r="B863" s="55" t="s">
        <v>204</v>
      </c>
      <c r="C863" s="55" t="s">
        <v>246</v>
      </c>
      <c r="D863" s="55" t="s">
        <v>284</v>
      </c>
      <c r="E863" s="55" t="s">
        <v>528</v>
      </c>
      <c r="F863" s="55" t="s">
        <v>209</v>
      </c>
      <c r="G863" s="55" t="s">
        <v>242</v>
      </c>
      <c r="H863" s="56">
        <v>12.62</v>
      </c>
    </row>
    <row r="864" spans="1:8" ht="14">
      <c r="A864" s="54" t="s">
        <v>492</v>
      </c>
      <c r="B864" s="55" t="s">
        <v>204</v>
      </c>
      <c r="C864" s="55" t="s">
        <v>246</v>
      </c>
      <c r="D864" s="55" t="s">
        <v>284</v>
      </c>
      <c r="E864" s="55" t="s">
        <v>529</v>
      </c>
      <c r="F864" s="55" t="s">
        <v>207</v>
      </c>
      <c r="G864" s="55" t="s">
        <v>219</v>
      </c>
      <c r="H864" s="56">
        <v>5.65</v>
      </c>
    </row>
    <row r="865" spans="1:8" ht="14">
      <c r="A865" s="54" t="s">
        <v>492</v>
      </c>
      <c r="B865" s="55" t="s">
        <v>204</v>
      </c>
      <c r="C865" s="55" t="s">
        <v>246</v>
      </c>
      <c r="D865" s="55" t="s">
        <v>284</v>
      </c>
      <c r="E865" s="55" t="s">
        <v>529</v>
      </c>
      <c r="F865" s="55" t="s">
        <v>209</v>
      </c>
      <c r="G865" s="55" t="s">
        <v>362</v>
      </c>
      <c r="H865" s="56">
        <v>35.07</v>
      </c>
    </row>
    <row r="866" spans="1:8" ht="14">
      <c r="A866" s="54" t="s">
        <v>492</v>
      </c>
      <c r="B866" s="55" t="s">
        <v>204</v>
      </c>
      <c r="C866" s="55" t="s">
        <v>246</v>
      </c>
      <c r="D866" s="55" t="s">
        <v>284</v>
      </c>
      <c r="E866" s="55" t="s">
        <v>529</v>
      </c>
      <c r="F866" s="55" t="s">
        <v>209</v>
      </c>
      <c r="G866" s="55" t="s">
        <v>222</v>
      </c>
      <c r="H866" s="56">
        <v>13.29</v>
      </c>
    </row>
    <row r="867" spans="1:8" ht="14">
      <c r="A867" s="54" t="s">
        <v>492</v>
      </c>
      <c r="B867" s="55" t="s">
        <v>204</v>
      </c>
      <c r="C867" s="55" t="s">
        <v>246</v>
      </c>
      <c r="D867" s="55" t="s">
        <v>284</v>
      </c>
      <c r="E867" s="55" t="s">
        <v>529</v>
      </c>
      <c r="F867" s="55" t="s">
        <v>209</v>
      </c>
      <c r="G867" s="55" t="s">
        <v>237</v>
      </c>
      <c r="H867" s="56">
        <v>13.29</v>
      </c>
    </row>
    <row r="868" spans="1:8" ht="14">
      <c r="A868" s="54" t="s">
        <v>492</v>
      </c>
      <c r="B868" s="55" t="s">
        <v>204</v>
      </c>
      <c r="C868" s="55" t="s">
        <v>246</v>
      </c>
      <c r="D868" s="55" t="s">
        <v>284</v>
      </c>
      <c r="E868" s="55" t="s">
        <v>529</v>
      </c>
      <c r="F868" s="55" t="s">
        <v>209</v>
      </c>
      <c r="G868" s="55" t="s">
        <v>217</v>
      </c>
      <c r="H868" s="56">
        <v>10.6</v>
      </c>
    </row>
    <row r="869" spans="1:8" ht="14">
      <c r="A869" s="54" t="s">
        <v>492</v>
      </c>
      <c r="B869" s="55" t="s">
        <v>204</v>
      </c>
      <c r="C869" s="55" t="s">
        <v>246</v>
      </c>
      <c r="D869" s="55" t="s">
        <v>284</v>
      </c>
      <c r="E869" s="55" t="s">
        <v>529</v>
      </c>
      <c r="F869" s="55" t="s">
        <v>209</v>
      </c>
      <c r="G869" s="55" t="s">
        <v>220</v>
      </c>
      <c r="H869" s="56">
        <v>10.09</v>
      </c>
    </row>
    <row r="870" spans="1:8" ht="14">
      <c r="A870" s="54" t="s">
        <v>492</v>
      </c>
      <c r="B870" s="55" t="s">
        <v>204</v>
      </c>
      <c r="C870" s="55" t="s">
        <v>246</v>
      </c>
      <c r="D870" s="55" t="s">
        <v>284</v>
      </c>
      <c r="E870" s="55" t="s">
        <v>529</v>
      </c>
      <c r="F870" s="55" t="s">
        <v>209</v>
      </c>
      <c r="G870" s="55" t="s">
        <v>242</v>
      </c>
      <c r="H870" s="56">
        <v>9.58</v>
      </c>
    </row>
    <row r="871" spans="1:8" ht="14">
      <c r="A871" s="54" t="s">
        <v>492</v>
      </c>
      <c r="B871" s="55" t="s">
        <v>204</v>
      </c>
      <c r="C871" s="55" t="s">
        <v>246</v>
      </c>
      <c r="D871" s="55" t="s">
        <v>284</v>
      </c>
      <c r="E871" s="55" t="s">
        <v>530</v>
      </c>
      <c r="F871" s="55" t="s">
        <v>207</v>
      </c>
      <c r="G871" s="55" t="s">
        <v>219</v>
      </c>
      <c r="H871" s="56">
        <v>5.65</v>
      </c>
    </row>
    <row r="872" spans="1:8" ht="14">
      <c r="A872" s="54" t="s">
        <v>492</v>
      </c>
      <c r="B872" s="55" t="s">
        <v>204</v>
      </c>
      <c r="C872" s="55" t="s">
        <v>246</v>
      </c>
      <c r="D872" s="55" t="s">
        <v>284</v>
      </c>
      <c r="E872" s="55" t="s">
        <v>530</v>
      </c>
      <c r="F872" s="55" t="s">
        <v>209</v>
      </c>
      <c r="G872" s="55" t="s">
        <v>362</v>
      </c>
      <c r="H872" s="56">
        <v>35.07</v>
      </c>
    </row>
    <row r="873" spans="1:8" ht="14">
      <c r="A873" s="54" t="s">
        <v>492</v>
      </c>
      <c r="B873" s="55" t="s">
        <v>204</v>
      </c>
      <c r="C873" s="55" t="s">
        <v>246</v>
      </c>
      <c r="D873" s="55" t="s">
        <v>284</v>
      </c>
      <c r="E873" s="55" t="s">
        <v>530</v>
      </c>
      <c r="F873" s="55" t="s">
        <v>209</v>
      </c>
      <c r="G873" s="55" t="s">
        <v>222</v>
      </c>
      <c r="H873" s="56">
        <v>13.29</v>
      </c>
    </row>
    <row r="874" spans="1:8" ht="14">
      <c r="A874" s="54" t="s">
        <v>492</v>
      </c>
      <c r="B874" s="55" t="s">
        <v>204</v>
      </c>
      <c r="C874" s="55" t="s">
        <v>246</v>
      </c>
      <c r="D874" s="55" t="s">
        <v>284</v>
      </c>
      <c r="E874" s="55" t="s">
        <v>530</v>
      </c>
      <c r="F874" s="55" t="s">
        <v>209</v>
      </c>
      <c r="G874" s="55" t="s">
        <v>237</v>
      </c>
      <c r="H874" s="56">
        <v>13.29</v>
      </c>
    </row>
    <row r="875" spans="1:8" ht="14">
      <c r="A875" s="54" t="s">
        <v>492</v>
      </c>
      <c r="B875" s="55" t="s">
        <v>204</v>
      </c>
      <c r="C875" s="55" t="s">
        <v>246</v>
      </c>
      <c r="D875" s="55" t="s">
        <v>284</v>
      </c>
      <c r="E875" s="55" t="s">
        <v>530</v>
      </c>
      <c r="F875" s="55" t="s">
        <v>209</v>
      </c>
      <c r="G875" s="55" t="s">
        <v>217</v>
      </c>
      <c r="H875" s="56">
        <v>10.6</v>
      </c>
    </row>
    <row r="876" spans="1:8" ht="14">
      <c r="A876" s="54" t="s">
        <v>492</v>
      </c>
      <c r="B876" s="55" t="s">
        <v>204</v>
      </c>
      <c r="C876" s="55" t="s">
        <v>246</v>
      </c>
      <c r="D876" s="55" t="s">
        <v>284</v>
      </c>
      <c r="E876" s="55" t="s">
        <v>530</v>
      </c>
      <c r="F876" s="55" t="s">
        <v>209</v>
      </c>
      <c r="G876" s="55" t="s">
        <v>220</v>
      </c>
      <c r="H876" s="56">
        <v>10.09</v>
      </c>
    </row>
    <row r="877" spans="1:8" ht="14">
      <c r="A877" s="54" t="s">
        <v>492</v>
      </c>
      <c r="B877" s="55" t="s">
        <v>204</v>
      </c>
      <c r="C877" s="55" t="s">
        <v>246</v>
      </c>
      <c r="D877" s="55" t="s">
        <v>284</v>
      </c>
      <c r="E877" s="55" t="s">
        <v>530</v>
      </c>
      <c r="F877" s="55" t="s">
        <v>209</v>
      </c>
      <c r="G877" s="55" t="s">
        <v>242</v>
      </c>
      <c r="H877" s="56">
        <v>9.58</v>
      </c>
    </row>
    <row r="878" spans="1:8" ht="14">
      <c r="A878" s="54" t="s">
        <v>492</v>
      </c>
      <c r="B878" s="55" t="s">
        <v>204</v>
      </c>
      <c r="C878" s="55" t="s">
        <v>246</v>
      </c>
      <c r="D878" s="55" t="s">
        <v>284</v>
      </c>
      <c r="E878" s="55" t="s">
        <v>531</v>
      </c>
      <c r="F878" s="55" t="s">
        <v>209</v>
      </c>
      <c r="G878" s="55" t="s">
        <v>362</v>
      </c>
      <c r="H878" s="56">
        <v>30.27</v>
      </c>
    </row>
    <row r="879" spans="1:8" ht="14">
      <c r="A879" s="54" t="s">
        <v>492</v>
      </c>
      <c r="B879" s="55" t="s">
        <v>204</v>
      </c>
      <c r="C879" s="55" t="s">
        <v>246</v>
      </c>
      <c r="D879" s="55" t="s">
        <v>284</v>
      </c>
      <c r="E879" s="55" t="s">
        <v>531</v>
      </c>
      <c r="F879" s="55" t="s">
        <v>209</v>
      </c>
      <c r="G879" s="55" t="s">
        <v>222</v>
      </c>
      <c r="H879" s="56">
        <v>16.52</v>
      </c>
    </row>
    <row r="880" spans="1:8" ht="14">
      <c r="A880" s="54" t="s">
        <v>492</v>
      </c>
      <c r="B880" s="55" t="s">
        <v>204</v>
      </c>
      <c r="C880" s="55" t="s">
        <v>246</v>
      </c>
      <c r="D880" s="55" t="s">
        <v>284</v>
      </c>
      <c r="E880" s="55" t="s">
        <v>531</v>
      </c>
      <c r="F880" s="55" t="s">
        <v>209</v>
      </c>
      <c r="G880" s="55" t="s">
        <v>237</v>
      </c>
      <c r="H880" s="56">
        <v>16.52</v>
      </c>
    </row>
    <row r="881" spans="1:8" ht="14">
      <c r="A881" s="54" t="s">
        <v>492</v>
      </c>
      <c r="B881" s="55" t="s">
        <v>204</v>
      </c>
      <c r="C881" s="55" t="s">
        <v>246</v>
      </c>
      <c r="D881" s="55" t="s">
        <v>284</v>
      </c>
      <c r="E881" s="55" t="s">
        <v>531</v>
      </c>
      <c r="F881" s="55" t="s">
        <v>209</v>
      </c>
      <c r="G881" s="55" t="s">
        <v>217</v>
      </c>
      <c r="H881" s="56">
        <v>10.09</v>
      </c>
    </row>
    <row r="882" spans="1:8" ht="14">
      <c r="A882" s="54" t="s">
        <v>492</v>
      </c>
      <c r="B882" s="55" t="s">
        <v>204</v>
      </c>
      <c r="C882" s="55" t="s">
        <v>246</v>
      </c>
      <c r="D882" s="55" t="s">
        <v>284</v>
      </c>
      <c r="E882" s="55" t="s">
        <v>531</v>
      </c>
      <c r="F882" s="55" t="s">
        <v>209</v>
      </c>
      <c r="G882" s="55" t="s">
        <v>220</v>
      </c>
      <c r="H882" s="56">
        <v>10.6</v>
      </c>
    </row>
    <row r="883" spans="1:8" ht="14">
      <c r="A883" s="54" t="s">
        <v>492</v>
      </c>
      <c r="B883" s="55" t="s">
        <v>204</v>
      </c>
      <c r="C883" s="55" t="s">
        <v>246</v>
      </c>
      <c r="D883" s="55" t="s">
        <v>284</v>
      </c>
      <c r="E883" s="55" t="s">
        <v>531</v>
      </c>
      <c r="F883" s="55" t="s">
        <v>209</v>
      </c>
      <c r="G883" s="55" t="s">
        <v>242</v>
      </c>
      <c r="H883" s="56">
        <v>11.1</v>
      </c>
    </row>
    <row r="884" spans="1:8" ht="14">
      <c r="A884" s="54" t="s">
        <v>492</v>
      </c>
      <c r="B884" s="55" t="s">
        <v>204</v>
      </c>
      <c r="C884" s="55" t="s">
        <v>287</v>
      </c>
      <c r="D884" s="55">
        <v>0</v>
      </c>
      <c r="E884" s="55" t="s">
        <v>532</v>
      </c>
      <c r="F884" s="55" t="s">
        <v>207</v>
      </c>
      <c r="G884" s="55" t="s">
        <v>219</v>
      </c>
      <c r="H884" s="56">
        <v>2.12</v>
      </c>
    </row>
    <row r="885" spans="1:8" ht="14">
      <c r="A885" s="54" t="s">
        <v>492</v>
      </c>
      <c r="B885" s="55" t="s">
        <v>204</v>
      </c>
      <c r="C885" s="55" t="s">
        <v>287</v>
      </c>
      <c r="D885" s="55">
        <v>0</v>
      </c>
      <c r="E885" s="55" t="s">
        <v>532</v>
      </c>
      <c r="F885" s="55" t="s">
        <v>209</v>
      </c>
      <c r="G885" s="55" t="s">
        <v>362</v>
      </c>
      <c r="H885" s="56">
        <v>17.82</v>
      </c>
    </row>
    <row r="886" spans="1:8" ht="14">
      <c r="A886" s="54" t="s">
        <v>492</v>
      </c>
      <c r="B886" s="55" t="s">
        <v>204</v>
      </c>
      <c r="C886" s="55" t="s">
        <v>287</v>
      </c>
      <c r="D886" s="55">
        <v>0</v>
      </c>
      <c r="E886" s="55" t="s">
        <v>532</v>
      </c>
      <c r="F886" s="55" t="s">
        <v>209</v>
      </c>
      <c r="G886" s="55" t="s">
        <v>229</v>
      </c>
      <c r="H886" s="56">
        <v>5.62</v>
      </c>
    </row>
    <row r="887" spans="1:8" ht="14">
      <c r="A887" s="54" t="s">
        <v>492</v>
      </c>
      <c r="B887" s="55" t="s">
        <v>204</v>
      </c>
      <c r="C887" s="55" t="s">
        <v>287</v>
      </c>
      <c r="D887" s="55">
        <v>0</v>
      </c>
      <c r="E887" s="55" t="s">
        <v>532</v>
      </c>
      <c r="F887" s="55" t="s">
        <v>209</v>
      </c>
      <c r="G887" s="55" t="s">
        <v>217</v>
      </c>
      <c r="H887" s="56">
        <v>4.57</v>
      </c>
    </row>
    <row r="888" spans="1:8" ht="14">
      <c r="A888" s="54" t="s">
        <v>492</v>
      </c>
      <c r="B888" s="55" t="s">
        <v>204</v>
      </c>
      <c r="C888" s="55" t="s">
        <v>287</v>
      </c>
      <c r="D888" s="55">
        <v>0</v>
      </c>
      <c r="E888" s="55" t="s">
        <v>532</v>
      </c>
      <c r="F888" s="55" t="s">
        <v>209</v>
      </c>
      <c r="G888" s="55" t="s">
        <v>263</v>
      </c>
      <c r="H888" s="56">
        <v>4.72</v>
      </c>
    </row>
    <row r="889" spans="1:8" ht="14">
      <c r="A889" s="54" t="s">
        <v>492</v>
      </c>
      <c r="B889" s="55" t="s">
        <v>204</v>
      </c>
      <c r="C889" s="55" t="s">
        <v>287</v>
      </c>
      <c r="D889" s="55">
        <v>0</v>
      </c>
      <c r="E889" s="55" t="s">
        <v>533</v>
      </c>
      <c r="F889" s="55" t="s">
        <v>207</v>
      </c>
      <c r="G889" s="55" t="s">
        <v>261</v>
      </c>
      <c r="H889" s="56">
        <v>1.91</v>
      </c>
    </row>
    <row r="890" spans="1:8" ht="14">
      <c r="A890" s="54" t="s">
        <v>492</v>
      </c>
      <c r="B890" s="55" t="s">
        <v>204</v>
      </c>
      <c r="C890" s="55" t="s">
        <v>287</v>
      </c>
      <c r="D890" s="55">
        <v>0</v>
      </c>
      <c r="E890" s="55" t="s">
        <v>533</v>
      </c>
      <c r="F890" s="55" t="s">
        <v>209</v>
      </c>
      <c r="G890" s="55" t="s">
        <v>368</v>
      </c>
      <c r="H890" s="56">
        <v>17.079999999999998</v>
      </c>
    </row>
    <row r="891" spans="1:8" ht="14">
      <c r="A891" s="54" t="s">
        <v>492</v>
      </c>
      <c r="B891" s="55" t="s">
        <v>204</v>
      </c>
      <c r="C891" s="55" t="s">
        <v>287</v>
      </c>
      <c r="D891" s="55">
        <v>0</v>
      </c>
      <c r="E891" s="55" t="s">
        <v>533</v>
      </c>
      <c r="F891" s="55" t="s">
        <v>209</v>
      </c>
      <c r="G891" s="55" t="s">
        <v>262</v>
      </c>
      <c r="H891" s="56">
        <v>4.7699999999999996</v>
      </c>
    </row>
    <row r="892" spans="1:8" ht="14">
      <c r="A892" s="54" t="s">
        <v>492</v>
      </c>
      <c r="B892" s="55" t="s">
        <v>204</v>
      </c>
      <c r="C892" s="55" t="s">
        <v>287</v>
      </c>
      <c r="D892" s="55">
        <v>0</v>
      </c>
      <c r="E892" s="55" t="s">
        <v>533</v>
      </c>
      <c r="F892" s="55" t="s">
        <v>209</v>
      </c>
      <c r="G892" s="55" t="s">
        <v>226</v>
      </c>
      <c r="H892" s="56">
        <v>4.91</v>
      </c>
    </row>
    <row r="893" spans="1:8" ht="14">
      <c r="A893" s="54" t="s">
        <v>492</v>
      </c>
      <c r="B893" s="55" t="s">
        <v>204</v>
      </c>
      <c r="C893" s="55" t="s">
        <v>287</v>
      </c>
      <c r="D893" s="55">
        <v>0</v>
      </c>
      <c r="E893" s="55" t="s">
        <v>533</v>
      </c>
      <c r="F893" s="55" t="s">
        <v>209</v>
      </c>
      <c r="G893" s="55" t="s">
        <v>336</v>
      </c>
      <c r="H893" s="56">
        <v>5.34</v>
      </c>
    </row>
    <row r="894" spans="1:8" ht="14">
      <c r="A894" s="54" t="s">
        <v>492</v>
      </c>
      <c r="B894" s="55" t="s">
        <v>204</v>
      </c>
      <c r="C894" s="55" t="s">
        <v>287</v>
      </c>
      <c r="D894" s="55">
        <v>0</v>
      </c>
      <c r="E894" s="55" t="s">
        <v>534</v>
      </c>
      <c r="F894" s="55" t="s">
        <v>207</v>
      </c>
      <c r="G894" s="55" t="s">
        <v>219</v>
      </c>
      <c r="H894" s="56">
        <v>2.97</v>
      </c>
    </row>
    <row r="895" spans="1:8" ht="14">
      <c r="A895" s="54" t="s">
        <v>492</v>
      </c>
      <c r="B895" s="55" t="s">
        <v>204</v>
      </c>
      <c r="C895" s="55" t="s">
        <v>287</v>
      </c>
      <c r="D895" s="55">
        <v>0</v>
      </c>
      <c r="E895" s="55" t="s">
        <v>534</v>
      </c>
      <c r="F895" s="55" t="s">
        <v>209</v>
      </c>
      <c r="G895" s="55" t="s">
        <v>535</v>
      </c>
      <c r="H895" s="56">
        <v>21.78</v>
      </c>
    </row>
    <row r="896" spans="1:8" ht="14">
      <c r="A896" s="54" t="s">
        <v>492</v>
      </c>
      <c r="B896" s="55" t="s">
        <v>204</v>
      </c>
      <c r="C896" s="55" t="s">
        <v>287</v>
      </c>
      <c r="D896" s="55">
        <v>0</v>
      </c>
      <c r="E896" s="55" t="s">
        <v>534</v>
      </c>
      <c r="F896" s="55" t="s">
        <v>209</v>
      </c>
      <c r="G896" s="55" t="s">
        <v>217</v>
      </c>
      <c r="H896" s="56">
        <v>5.87</v>
      </c>
    </row>
    <row r="897" spans="1:8" ht="14">
      <c r="A897" s="54" t="s">
        <v>492</v>
      </c>
      <c r="B897" s="55" t="s">
        <v>204</v>
      </c>
      <c r="C897" s="55" t="s">
        <v>287</v>
      </c>
      <c r="D897" s="55">
        <v>0</v>
      </c>
      <c r="E897" s="55" t="s">
        <v>534</v>
      </c>
      <c r="F897" s="55" t="s">
        <v>209</v>
      </c>
      <c r="G897" s="55" t="s">
        <v>220</v>
      </c>
      <c r="H897" s="56">
        <v>6.17</v>
      </c>
    </row>
    <row r="898" spans="1:8" ht="14">
      <c r="A898" s="54" t="s">
        <v>492</v>
      </c>
      <c r="B898" s="55" t="s">
        <v>204</v>
      </c>
      <c r="C898" s="55" t="s">
        <v>287</v>
      </c>
      <c r="D898" s="55">
        <v>0</v>
      </c>
      <c r="E898" s="55" t="s">
        <v>534</v>
      </c>
      <c r="F898" s="55" t="s">
        <v>209</v>
      </c>
      <c r="G898" s="55" t="s">
        <v>226</v>
      </c>
      <c r="H898" s="56">
        <v>6.16</v>
      </c>
    </row>
    <row r="899" spans="1:8" ht="14">
      <c r="A899" s="54" t="s">
        <v>492</v>
      </c>
      <c r="B899" s="55" t="s">
        <v>204</v>
      </c>
      <c r="C899" s="55" t="s">
        <v>287</v>
      </c>
      <c r="D899" s="55">
        <v>0</v>
      </c>
      <c r="E899" s="55" t="s">
        <v>536</v>
      </c>
      <c r="F899" s="55" t="s">
        <v>207</v>
      </c>
      <c r="G899" s="55" t="s">
        <v>261</v>
      </c>
      <c r="H899" s="56">
        <v>3.53</v>
      </c>
    </row>
    <row r="900" spans="1:8" ht="14">
      <c r="A900" s="54" t="s">
        <v>492</v>
      </c>
      <c r="B900" s="55" t="s">
        <v>204</v>
      </c>
      <c r="C900" s="55" t="s">
        <v>287</v>
      </c>
      <c r="D900" s="55">
        <v>0</v>
      </c>
      <c r="E900" s="55" t="s">
        <v>536</v>
      </c>
      <c r="F900" s="55" t="s">
        <v>209</v>
      </c>
      <c r="G900" s="55" t="s">
        <v>362</v>
      </c>
      <c r="H900" s="56">
        <v>19.920000000000002</v>
      </c>
    </row>
    <row r="901" spans="1:8" ht="14">
      <c r="A901" s="54" t="s">
        <v>492</v>
      </c>
      <c r="B901" s="55" t="s">
        <v>204</v>
      </c>
      <c r="C901" s="55" t="s">
        <v>287</v>
      </c>
      <c r="D901" s="55">
        <v>0</v>
      </c>
      <c r="E901" s="55" t="s">
        <v>536</v>
      </c>
      <c r="F901" s="55" t="s">
        <v>209</v>
      </c>
      <c r="G901" s="55" t="s">
        <v>220</v>
      </c>
      <c r="H901" s="56">
        <v>6.89</v>
      </c>
    </row>
    <row r="902" spans="1:8" ht="14">
      <c r="A902" s="54" t="s">
        <v>492</v>
      </c>
      <c r="B902" s="55" t="s">
        <v>204</v>
      </c>
      <c r="C902" s="55" t="s">
        <v>287</v>
      </c>
      <c r="D902" s="55">
        <v>0</v>
      </c>
      <c r="E902" s="55" t="s">
        <v>536</v>
      </c>
      <c r="F902" s="55" t="s">
        <v>209</v>
      </c>
      <c r="G902" s="55" t="s">
        <v>262</v>
      </c>
      <c r="H902" s="56">
        <v>6.58</v>
      </c>
    </row>
    <row r="903" spans="1:8" ht="14">
      <c r="A903" s="54" t="s">
        <v>492</v>
      </c>
      <c r="B903" s="55" t="s">
        <v>204</v>
      </c>
      <c r="C903" s="55" t="s">
        <v>287</v>
      </c>
      <c r="D903" s="55">
        <v>0</v>
      </c>
      <c r="E903" s="55" t="s">
        <v>536</v>
      </c>
      <c r="F903" s="55" t="s">
        <v>209</v>
      </c>
      <c r="G903" s="55" t="s">
        <v>226</v>
      </c>
      <c r="H903" s="56">
        <v>6.75</v>
      </c>
    </row>
    <row r="904" spans="1:8" ht="14">
      <c r="A904" s="54" t="s">
        <v>492</v>
      </c>
      <c r="B904" s="55" t="s">
        <v>204</v>
      </c>
      <c r="C904" s="55" t="s">
        <v>287</v>
      </c>
      <c r="D904" s="55">
        <v>0</v>
      </c>
      <c r="E904" s="55" t="s">
        <v>537</v>
      </c>
      <c r="F904" s="55" t="s">
        <v>207</v>
      </c>
      <c r="G904" s="55" t="s">
        <v>219</v>
      </c>
      <c r="H904" s="56">
        <v>3.53</v>
      </c>
    </row>
    <row r="905" spans="1:8" ht="14">
      <c r="A905" s="54" t="s">
        <v>492</v>
      </c>
      <c r="B905" s="55" t="s">
        <v>204</v>
      </c>
      <c r="C905" s="55" t="s">
        <v>287</v>
      </c>
      <c r="D905" s="55">
        <v>0</v>
      </c>
      <c r="E905" s="55" t="s">
        <v>537</v>
      </c>
      <c r="F905" s="55" t="s">
        <v>209</v>
      </c>
      <c r="G905" s="55" t="s">
        <v>362</v>
      </c>
      <c r="H905" s="56">
        <v>22.06</v>
      </c>
    </row>
    <row r="906" spans="1:8" ht="14">
      <c r="A906" s="54" t="s">
        <v>492</v>
      </c>
      <c r="B906" s="55" t="s">
        <v>204</v>
      </c>
      <c r="C906" s="55" t="s">
        <v>287</v>
      </c>
      <c r="D906" s="55">
        <v>0</v>
      </c>
      <c r="E906" s="55" t="s">
        <v>537</v>
      </c>
      <c r="F906" s="55" t="s">
        <v>209</v>
      </c>
      <c r="G906" s="55" t="s">
        <v>229</v>
      </c>
      <c r="H906" s="56">
        <v>6.92</v>
      </c>
    </row>
    <row r="907" spans="1:8" ht="14">
      <c r="A907" s="54" t="s">
        <v>492</v>
      </c>
      <c r="B907" s="55" t="s">
        <v>204</v>
      </c>
      <c r="C907" s="55" t="s">
        <v>287</v>
      </c>
      <c r="D907" s="55">
        <v>0</v>
      </c>
      <c r="E907" s="55" t="s">
        <v>537</v>
      </c>
      <c r="F907" s="55" t="s">
        <v>209</v>
      </c>
      <c r="G907" s="55" t="s">
        <v>217</v>
      </c>
      <c r="H907" s="56">
        <v>6.19</v>
      </c>
    </row>
    <row r="908" spans="1:8" ht="14">
      <c r="A908" s="54" t="s">
        <v>492</v>
      </c>
      <c r="B908" s="55" t="s">
        <v>204</v>
      </c>
      <c r="C908" s="55" t="s">
        <v>287</v>
      </c>
      <c r="D908" s="55">
        <v>0</v>
      </c>
      <c r="E908" s="55" t="s">
        <v>537</v>
      </c>
      <c r="F908" s="55" t="s">
        <v>209</v>
      </c>
      <c r="G908" s="55" t="s">
        <v>220</v>
      </c>
      <c r="H908" s="56">
        <v>6.92</v>
      </c>
    </row>
    <row r="909" spans="1:8" ht="14">
      <c r="A909" s="54" t="s">
        <v>492</v>
      </c>
      <c r="B909" s="55" t="s">
        <v>204</v>
      </c>
      <c r="C909" s="55" t="s">
        <v>287</v>
      </c>
      <c r="D909" s="55">
        <v>0</v>
      </c>
      <c r="E909" s="55" t="s">
        <v>537</v>
      </c>
      <c r="F909" s="55" t="s">
        <v>209</v>
      </c>
      <c r="G909" s="55" t="s">
        <v>226</v>
      </c>
      <c r="H909" s="56">
        <v>6.33</v>
      </c>
    </row>
    <row r="910" spans="1:8" ht="14">
      <c r="A910" s="54" t="s">
        <v>492</v>
      </c>
      <c r="B910" s="55" t="s">
        <v>204</v>
      </c>
      <c r="C910" s="55" t="s">
        <v>287</v>
      </c>
      <c r="D910" s="55">
        <v>0</v>
      </c>
      <c r="E910" s="55" t="s">
        <v>538</v>
      </c>
      <c r="F910" s="55" t="s">
        <v>207</v>
      </c>
      <c r="G910" s="55" t="s">
        <v>261</v>
      </c>
      <c r="H910" s="56">
        <v>3.18</v>
      </c>
    </row>
    <row r="911" spans="1:8" ht="14">
      <c r="A911" s="54" t="s">
        <v>492</v>
      </c>
      <c r="B911" s="55" t="s">
        <v>204</v>
      </c>
      <c r="C911" s="55" t="s">
        <v>287</v>
      </c>
      <c r="D911" s="55">
        <v>0</v>
      </c>
      <c r="E911" s="55" t="s">
        <v>538</v>
      </c>
      <c r="F911" s="55" t="s">
        <v>209</v>
      </c>
      <c r="G911" s="55" t="s">
        <v>368</v>
      </c>
      <c r="H911" s="56">
        <v>19.23</v>
      </c>
    </row>
    <row r="912" spans="1:8" ht="14">
      <c r="A912" s="54" t="s">
        <v>492</v>
      </c>
      <c r="B912" s="55" t="s">
        <v>204</v>
      </c>
      <c r="C912" s="55" t="s">
        <v>287</v>
      </c>
      <c r="D912" s="55">
        <v>0</v>
      </c>
      <c r="E912" s="55" t="s">
        <v>538</v>
      </c>
      <c r="F912" s="55" t="s">
        <v>209</v>
      </c>
      <c r="G912" s="55" t="s">
        <v>262</v>
      </c>
      <c r="H912" s="56">
        <v>5.9</v>
      </c>
    </row>
    <row r="913" spans="1:8" ht="14">
      <c r="A913" s="54" t="s">
        <v>492</v>
      </c>
      <c r="B913" s="55" t="s">
        <v>204</v>
      </c>
      <c r="C913" s="55" t="s">
        <v>287</v>
      </c>
      <c r="D913" s="55">
        <v>0</v>
      </c>
      <c r="E913" s="55" t="s">
        <v>538</v>
      </c>
      <c r="F913" s="55" t="s">
        <v>209</v>
      </c>
      <c r="G913" s="55" t="s">
        <v>539</v>
      </c>
      <c r="H913" s="56">
        <v>6.04</v>
      </c>
    </row>
    <row r="914" spans="1:8" ht="14">
      <c r="A914" s="54" t="s">
        <v>492</v>
      </c>
      <c r="B914" s="55" t="s">
        <v>204</v>
      </c>
      <c r="C914" s="55" t="s">
        <v>287</v>
      </c>
      <c r="D914" s="55">
        <v>0</v>
      </c>
      <c r="E914" s="55" t="s">
        <v>540</v>
      </c>
      <c r="F914" s="55" t="s">
        <v>207</v>
      </c>
      <c r="G914" s="55" t="s">
        <v>261</v>
      </c>
      <c r="H914" s="56">
        <v>3.18</v>
      </c>
    </row>
    <row r="915" spans="1:8" ht="14">
      <c r="A915" s="54" t="s">
        <v>492</v>
      </c>
      <c r="B915" s="55" t="s">
        <v>204</v>
      </c>
      <c r="C915" s="55" t="s">
        <v>287</v>
      </c>
      <c r="D915" s="55">
        <v>0</v>
      </c>
      <c r="E915" s="55" t="s">
        <v>540</v>
      </c>
      <c r="F915" s="55" t="s">
        <v>209</v>
      </c>
      <c r="G915" s="55" t="s">
        <v>368</v>
      </c>
      <c r="H915" s="56">
        <v>19.23</v>
      </c>
    </row>
    <row r="916" spans="1:8" ht="14">
      <c r="A916" s="54" t="s">
        <v>492</v>
      </c>
      <c r="B916" s="55" t="s">
        <v>204</v>
      </c>
      <c r="C916" s="55" t="s">
        <v>287</v>
      </c>
      <c r="D916" s="55">
        <v>0</v>
      </c>
      <c r="E916" s="55" t="s">
        <v>540</v>
      </c>
      <c r="F916" s="55" t="s">
        <v>209</v>
      </c>
      <c r="G916" s="55" t="s">
        <v>262</v>
      </c>
      <c r="H916" s="56">
        <v>5.9</v>
      </c>
    </row>
    <row r="917" spans="1:8" ht="14">
      <c r="A917" s="54" t="s">
        <v>492</v>
      </c>
      <c r="B917" s="55" t="s">
        <v>204</v>
      </c>
      <c r="C917" s="55" t="s">
        <v>287</v>
      </c>
      <c r="D917" s="55">
        <v>0</v>
      </c>
      <c r="E917" s="55" t="s">
        <v>540</v>
      </c>
      <c r="F917" s="55" t="s">
        <v>209</v>
      </c>
      <c r="G917" s="55" t="s">
        <v>539</v>
      </c>
      <c r="H917" s="56">
        <v>6.04</v>
      </c>
    </row>
    <row r="918" spans="1:8" ht="14">
      <c r="A918" s="54" t="s">
        <v>492</v>
      </c>
      <c r="B918" s="55" t="s">
        <v>204</v>
      </c>
      <c r="C918" s="55" t="s">
        <v>287</v>
      </c>
      <c r="D918" s="55">
        <v>0</v>
      </c>
      <c r="E918" s="55" t="s">
        <v>541</v>
      </c>
      <c r="F918" s="55" t="s">
        <v>207</v>
      </c>
      <c r="G918" s="55" t="s">
        <v>219</v>
      </c>
      <c r="H918" s="56">
        <v>2.4700000000000002</v>
      </c>
    </row>
    <row r="919" spans="1:8" ht="14">
      <c r="A919" s="54" t="s">
        <v>492</v>
      </c>
      <c r="B919" s="55" t="s">
        <v>204</v>
      </c>
      <c r="C919" s="55" t="s">
        <v>287</v>
      </c>
      <c r="D919" s="55">
        <v>0</v>
      </c>
      <c r="E919" s="55" t="s">
        <v>541</v>
      </c>
      <c r="F919" s="55" t="s">
        <v>209</v>
      </c>
      <c r="G919" s="55" t="s">
        <v>368</v>
      </c>
      <c r="H919" s="56">
        <v>19.23</v>
      </c>
    </row>
    <row r="920" spans="1:8" ht="14">
      <c r="A920" s="54" t="s">
        <v>492</v>
      </c>
      <c r="B920" s="55" t="s">
        <v>204</v>
      </c>
      <c r="C920" s="55" t="s">
        <v>287</v>
      </c>
      <c r="D920" s="55">
        <v>0</v>
      </c>
      <c r="E920" s="55" t="s">
        <v>541</v>
      </c>
      <c r="F920" s="55" t="s">
        <v>209</v>
      </c>
      <c r="G920" s="55" t="s">
        <v>262</v>
      </c>
      <c r="H920" s="56">
        <v>5.35</v>
      </c>
    </row>
    <row r="921" spans="1:8" ht="14">
      <c r="A921" s="54" t="s">
        <v>492</v>
      </c>
      <c r="B921" s="55" t="s">
        <v>204</v>
      </c>
      <c r="C921" s="55" t="s">
        <v>287</v>
      </c>
      <c r="D921" s="55">
        <v>0</v>
      </c>
      <c r="E921" s="55" t="s">
        <v>541</v>
      </c>
      <c r="F921" s="55" t="s">
        <v>209</v>
      </c>
      <c r="G921" s="55" t="s">
        <v>226</v>
      </c>
      <c r="H921" s="56">
        <v>5.49</v>
      </c>
    </row>
    <row r="922" spans="1:8" ht="14">
      <c r="A922" s="54" t="s">
        <v>492</v>
      </c>
      <c r="B922" s="55" t="s">
        <v>204</v>
      </c>
      <c r="C922" s="55" t="s">
        <v>287</v>
      </c>
      <c r="D922" s="55">
        <v>0</v>
      </c>
      <c r="E922" s="55" t="s">
        <v>542</v>
      </c>
      <c r="F922" s="55" t="s">
        <v>207</v>
      </c>
      <c r="G922" s="55" t="s">
        <v>219</v>
      </c>
      <c r="H922" s="56">
        <v>2.2000000000000002</v>
      </c>
    </row>
    <row r="923" spans="1:8" ht="14">
      <c r="A923" s="54" t="s">
        <v>492</v>
      </c>
      <c r="B923" s="55" t="s">
        <v>204</v>
      </c>
      <c r="C923" s="55" t="s">
        <v>287</v>
      </c>
      <c r="D923" s="55">
        <v>0</v>
      </c>
      <c r="E923" s="55" t="s">
        <v>542</v>
      </c>
      <c r="F923" s="55" t="s">
        <v>209</v>
      </c>
      <c r="G923" s="55" t="s">
        <v>362</v>
      </c>
      <c r="H923" s="56">
        <v>18.989999999999998</v>
      </c>
    </row>
    <row r="924" spans="1:8" ht="14">
      <c r="A924" s="54" t="s">
        <v>492</v>
      </c>
      <c r="B924" s="55" t="s">
        <v>204</v>
      </c>
      <c r="C924" s="55" t="s">
        <v>287</v>
      </c>
      <c r="D924" s="55">
        <v>0</v>
      </c>
      <c r="E924" s="55" t="s">
        <v>542</v>
      </c>
      <c r="F924" s="55" t="s">
        <v>209</v>
      </c>
      <c r="G924" s="55" t="s">
        <v>368</v>
      </c>
      <c r="H924" s="56">
        <v>22.76</v>
      </c>
    </row>
    <row r="925" spans="1:8" ht="14">
      <c r="A925" s="54" t="s">
        <v>492</v>
      </c>
      <c r="B925" s="55" t="s">
        <v>204</v>
      </c>
      <c r="C925" s="55" t="s">
        <v>287</v>
      </c>
      <c r="D925" s="55">
        <v>0</v>
      </c>
      <c r="E925" s="55" t="s">
        <v>542</v>
      </c>
      <c r="F925" s="55" t="s">
        <v>209</v>
      </c>
      <c r="G925" s="55" t="s">
        <v>217</v>
      </c>
      <c r="H925" s="56">
        <v>5.56</v>
      </c>
    </row>
    <row r="926" spans="1:8" ht="14">
      <c r="A926" s="54" t="s">
        <v>492</v>
      </c>
      <c r="B926" s="55" t="s">
        <v>204</v>
      </c>
      <c r="C926" s="55" t="s">
        <v>287</v>
      </c>
      <c r="D926" s="55">
        <v>0</v>
      </c>
      <c r="E926" s="55" t="s">
        <v>542</v>
      </c>
      <c r="F926" s="55" t="s">
        <v>209</v>
      </c>
      <c r="G926" s="55" t="s">
        <v>240</v>
      </c>
      <c r="H926" s="56">
        <v>6.13</v>
      </c>
    </row>
    <row r="927" spans="1:8" ht="14">
      <c r="A927" s="54" t="s">
        <v>492</v>
      </c>
      <c r="B927" s="55" t="s">
        <v>416</v>
      </c>
      <c r="C927" s="55" t="s">
        <v>246</v>
      </c>
      <c r="D927" s="55" t="s">
        <v>417</v>
      </c>
      <c r="E927" s="55" t="s">
        <v>543</v>
      </c>
      <c r="F927" s="55" t="s">
        <v>209</v>
      </c>
      <c r="G927" s="55" t="s">
        <v>362</v>
      </c>
      <c r="H927" s="56">
        <v>25.72</v>
      </c>
    </row>
    <row r="928" spans="1:8" ht="14">
      <c r="A928" s="54" t="s">
        <v>492</v>
      </c>
      <c r="B928" s="55" t="s">
        <v>416</v>
      </c>
      <c r="C928" s="55" t="s">
        <v>246</v>
      </c>
      <c r="D928" s="55" t="s">
        <v>417</v>
      </c>
      <c r="E928" s="55" t="s">
        <v>544</v>
      </c>
      <c r="F928" s="55" t="s">
        <v>209</v>
      </c>
      <c r="G928" s="55" t="s">
        <v>362</v>
      </c>
      <c r="H928" s="56">
        <v>27.02</v>
      </c>
    </row>
    <row r="929" spans="1:8" ht="14">
      <c r="A929" s="54" t="s">
        <v>492</v>
      </c>
      <c r="B929" s="55" t="s">
        <v>416</v>
      </c>
      <c r="C929" s="55" t="s">
        <v>246</v>
      </c>
      <c r="D929" s="55" t="s">
        <v>417</v>
      </c>
      <c r="E929" s="55" t="s">
        <v>545</v>
      </c>
      <c r="F929" s="55" t="s">
        <v>209</v>
      </c>
      <c r="G929" s="55" t="s">
        <v>362</v>
      </c>
      <c r="H929" s="56">
        <v>23.12</v>
      </c>
    </row>
    <row r="930" spans="1:8" ht="14">
      <c r="A930" s="54" t="s">
        <v>492</v>
      </c>
      <c r="B930" s="55" t="s">
        <v>416</v>
      </c>
      <c r="C930" s="55" t="s">
        <v>246</v>
      </c>
      <c r="D930" s="55" t="s">
        <v>417</v>
      </c>
      <c r="E930" s="55" t="s">
        <v>546</v>
      </c>
      <c r="F930" s="55" t="s">
        <v>209</v>
      </c>
      <c r="G930" s="55" t="s">
        <v>362</v>
      </c>
      <c r="H930" s="56">
        <v>24.42</v>
      </c>
    </row>
    <row r="931" spans="1:8" ht="14">
      <c r="A931" s="54" t="s">
        <v>492</v>
      </c>
      <c r="B931" s="55" t="s">
        <v>416</v>
      </c>
      <c r="C931" s="55" t="s">
        <v>246</v>
      </c>
      <c r="D931" s="55" t="s">
        <v>417</v>
      </c>
      <c r="E931" s="55" t="s">
        <v>547</v>
      </c>
      <c r="F931" s="55" t="s">
        <v>209</v>
      </c>
      <c r="G931" s="55" t="s">
        <v>548</v>
      </c>
      <c r="H931" s="56">
        <v>33.520000000000003</v>
      </c>
    </row>
    <row r="932" spans="1:8" ht="14">
      <c r="A932" s="54" t="s">
        <v>492</v>
      </c>
      <c r="B932" s="55" t="s">
        <v>416</v>
      </c>
      <c r="C932" s="55" t="s">
        <v>246</v>
      </c>
      <c r="D932" s="55" t="s">
        <v>417</v>
      </c>
      <c r="E932" s="55" t="s">
        <v>549</v>
      </c>
      <c r="F932" s="55" t="s">
        <v>209</v>
      </c>
      <c r="G932" s="55" t="s">
        <v>362</v>
      </c>
      <c r="H932" s="56">
        <v>27.02</v>
      </c>
    </row>
    <row r="933" spans="1:8" ht="14">
      <c r="A933" s="54" t="s">
        <v>492</v>
      </c>
      <c r="B933" s="55" t="s">
        <v>416</v>
      </c>
      <c r="C933" s="55" t="s">
        <v>246</v>
      </c>
      <c r="D933" s="55" t="s">
        <v>417</v>
      </c>
      <c r="E933" s="55" t="s">
        <v>550</v>
      </c>
      <c r="F933" s="55" t="s">
        <v>209</v>
      </c>
      <c r="G933" s="55" t="s">
        <v>362</v>
      </c>
      <c r="H933" s="56">
        <v>29.62</v>
      </c>
    </row>
    <row r="934" spans="1:8" ht="14">
      <c r="A934" s="54" t="s">
        <v>492</v>
      </c>
      <c r="B934" s="55" t="s">
        <v>416</v>
      </c>
      <c r="C934" s="55" t="s">
        <v>246</v>
      </c>
      <c r="D934" s="55" t="s">
        <v>417</v>
      </c>
      <c r="E934" s="55" t="s">
        <v>551</v>
      </c>
      <c r="F934" s="55" t="s">
        <v>209</v>
      </c>
      <c r="G934" s="55" t="s">
        <v>362</v>
      </c>
      <c r="H934" s="56">
        <v>31.54</v>
      </c>
    </row>
    <row r="935" spans="1:8" ht="14">
      <c r="A935" s="54" t="s">
        <v>492</v>
      </c>
      <c r="B935" s="55" t="s">
        <v>416</v>
      </c>
      <c r="C935" s="55" t="s">
        <v>246</v>
      </c>
      <c r="D935" s="55" t="s">
        <v>417</v>
      </c>
      <c r="E935" s="55" t="s">
        <v>551</v>
      </c>
      <c r="F935" s="55" t="s">
        <v>209</v>
      </c>
      <c r="G935" s="55" t="s">
        <v>368</v>
      </c>
      <c r="H935" s="56">
        <v>32.950000000000003</v>
      </c>
    </row>
    <row r="936" spans="1:8" ht="14">
      <c r="A936" s="54" t="s">
        <v>492</v>
      </c>
      <c r="B936" s="55" t="s">
        <v>416</v>
      </c>
      <c r="C936" s="55" t="s">
        <v>246</v>
      </c>
      <c r="D936" s="55" t="s">
        <v>417</v>
      </c>
      <c r="E936" s="55" t="s">
        <v>552</v>
      </c>
      <c r="F936" s="55" t="s">
        <v>209</v>
      </c>
      <c r="G936" s="55" t="s">
        <v>368</v>
      </c>
      <c r="H936" s="56">
        <v>31.54</v>
      </c>
    </row>
    <row r="937" spans="1:8" ht="14">
      <c r="A937" s="54" t="s">
        <v>492</v>
      </c>
      <c r="B937" s="55" t="s">
        <v>416</v>
      </c>
      <c r="C937" s="55" t="s">
        <v>246</v>
      </c>
      <c r="D937" s="55" t="s">
        <v>417</v>
      </c>
      <c r="E937" s="55" t="s">
        <v>553</v>
      </c>
      <c r="F937" s="55" t="s">
        <v>209</v>
      </c>
      <c r="G937" s="55" t="s">
        <v>368</v>
      </c>
      <c r="H937" s="56">
        <v>32.950000000000003</v>
      </c>
    </row>
    <row r="938" spans="1:8" ht="14">
      <c r="A938" s="54" t="s">
        <v>492</v>
      </c>
      <c r="B938" s="55" t="s">
        <v>417</v>
      </c>
      <c r="C938" s="55" t="s">
        <v>205</v>
      </c>
      <c r="D938" s="55">
        <v>0</v>
      </c>
      <c r="E938" s="55" t="s">
        <v>554</v>
      </c>
      <c r="F938" s="55" t="s">
        <v>209</v>
      </c>
      <c r="G938" s="55" t="s">
        <v>355</v>
      </c>
      <c r="H938" s="56">
        <v>18.47</v>
      </c>
    </row>
    <row r="939" spans="1:8" ht="14">
      <c r="A939" s="54" t="s">
        <v>492</v>
      </c>
      <c r="B939" s="55" t="s">
        <v>417</v>
      </c>
      <c r="C939" s="55" t="s">
        <v>205</v>
      </c>
      <c r="D939" s="55">
        <v>0</v>
      </c>
      <c r="E939" s="55" t="s">
        <v>554</v>
      </c>
      <c r="F939" s="55" t="s">
        <v>209</v>
      </c>
      <c r="G939" s="55" t="s">
        <v>494</v>
      </c>
      <c r="H939" s="56">
        <v>18.11</v>
      </c>
    </row>
    <row r="940" spans="1:8" ht="14">
      <c r="A940" s="54" t="s">
        <v>492</v>
      </c>
      <c r="B940" s="55" t="s">
        <v>417</v>
      </c>
      <c r="C940" s="55" t="s">
        <v>205</v>
      </c>
      <c r="D940" s="55">
        <v>0</v>
      </c>
      <c r="E940" s="55" t="s">
        <v>555</v>
      </c>
      <c r="F940" s="55" t="s">
        <v>209</v>
      </c>
      <c r="G940" s="55" t="s">
        <v>556</v>
      </c>
      <c r="H940" s="56">
        <v>32.659999999999997</v>
      </c>
    </row>
    <row r="941" spans="1:8" ht="14">
      <c r="A941" s="54" t="s">
        <v>492</v>
      </c>
      <c r="B941" s="55" t="s">
        <v>417</v>
      </c>
      <c r="C941" s="55" t="s">
        <v>205</v>
      </c>
      <c r="D941" s="55">
        <v>0</v>
      </c>
      <c r="E941" s="55" t="s">
        <v>555</v>
      </c>
      <c r="F941" s="55" t="s">
        <v>495</v>
      </c>
      <c r="G941" s="55" t="s">
        <v>557</v>
      </c>
      <c r="H941" s="56">
        <v>36.19</v>
      </c>
    </row>
    <row r="942" spans="1:8" ht="14">
      <c r="A942" s="54" t="s">
        <v>492</v>
      </c>
      <c r="B942" s="55" t="s">
        <v>417</v>
      </c>
      <c r="C942" s="55" t="s">
        <v>205</v>
      </c>
      <c r="D942" s="55">
        <v>0</v>
      </c>
      <c r="E942" s="55" t="s">
        <v>558</v>
      </c>
      <c r="F942" s="55" t="s">
        <v>209</v>
      </c>
      <c r="G942" s="55" t="s">
        <v>494</v>
      </c>
      <c r="H942" s="56">
        <v>14.93</v>
      </c>
    </row>
    <row r="943" spans="1:8" ht="14">
      <c r="A943" s="54" t="s">
        <v>492</v>
      </c>
      <c r="B943" s="55" t="s">
        <v>417</v>
      </c>
      <c r="C943" s="55" t="s">
        <v>287</v>
      </c>
      <c r="D943" s="55">
        <v>0</v>
      </c>
      <c r="E943" s="55" t="s">
        <v>559</v>
      </c>
      <c r="F943" s="55" t="s">
        <v>209</v>
      </c>
      <c r="G943" s="55" t="s">
        <v>362</v>
      </c>
      <c r="H943" s="56">
        <v>19.940000000000001</v>
      </c>
    </row>
    <row r="944" spans="1:8" ht="14">
      <c r="A944" s="54" t="s">
        <v>492</v>
      </c>
      <c r="B944" s="55" t="s">
        <v>417</v>
      </c>
      <c r="C944" s="55" t="s">
        <v>287</v>
      </c>
      <c r="D944" s="55">
        <v>0</v>
      </c>
      <c r="E944" s="55" t="s">
        <v>560</v>
      </c>
      <c r="F944" s="55" t="s">
        <v>209</v>
      </c>
      <c r="G944" s="55" t="s">
        <v>362</v>
      </c>
      <c r="H944" s="56">
        <v>20.64</v>
      </c>
    </row>
    <row r="945" spans="1:8" ht="14">
      <c r="A945" s="54" t="s">
        <v>492</v>
      </c>
      <c r="B945" s="55" t="s">
        <v>417</v>
      </c>
      <c r="C945" s="55" t="s">
        <v>287</v>
      </c>
      <c r="D945" s="55">
        <v>0</v>
      </c>
      <c r="E945" s="55" t="s">
        <v>561</v>
      </c>
      <c r="F945" s="55" t="s">
        <v>209</v>
      </c>
      <c r="G945" s="55" t="s">
        <v>362</v>
      </c>
      <c r="H945" s="56">
        <v>23.22</v>
      </c>
    </row>
    <row r="946" spans="1:8" ht="14">
      <c r="A946" s="54" t="s">
        <v>492</v>
      </c>
      <c r="B946" s="55" t="s">
        <v>417</v>
      </c>
      <c r="C946" s="55" t="s">
        <v>287</v>
      </c>
      <c r="D946" s="55">
        <v>0</v>
      </c>
      <c r="E946" s="55" t="s">
        <v>562</v>
      </c>
      <c r="F946" s="55" t="s">
        <v>209</v>
      </c>
      <c r="G946" s="55" t="s">
        <v>362</v>
      </c>
      <c r="H946" s="56">
        <v>18.52</v>
      </c>
    </row>
    <row r="947" spans="1:8" ht="14">
      <c r="A947" s="54" t="s">
        <v>492</v>
      </c>
      <c r="B947" s="55" t="s">
        <v>423</v>
      </c>
      <c r="C947" s="55" t="s">
        <v>246</v>
      </c>
      <c r="D947" s="55" t="s">
        <v>429</v>
      </c>
      <c r="E947" s="55" t="s">
        <v>563</v>
      </c>
      <c r="F947" s="55" t="s">
        <v>209</v>
      </c>
      <c r="G947" s="55" t="s">
        <v>362</v>
      </c>
      <c r="H947" s="56">
        <v>33.520000000000003</v>
      </c>
    </row>
    <row r="948" spans="1:8" ht="14">
      <c r="A948" s="54" t="s">
        <v>492</v>
      </c>
      <c r="B948" s="55" t="s">
        <v>423</v>
      </c>
      <c r="C948" s="55" t="s">
        <v>246</v>
      </c>
      <c r="D948" s="55" t="s">
        <v>564</v>
      </c>
      <c r="E948" s="55" t="s">
        <v>565</v>
      </c>
      <c r="F948" s="55" t="s">
        <v>209</v>
      </c>
      <c r="G948" s="55" t="s">
        <v>362</v>
      </c>
      <c r="H948" s="56">
        <v>23.43</v>
      </c>
    </row>
    <row r="949" spans="1:8" ht="14">
      <c r="A949" s="54" t="s">
        <v>492</v>
      </c>
      <c r="B949" s="55" t="s">
        <v>423</v>
      </c>
      <c r="C949" s="55" t="s">
        <v>246</v>
      </c>
      <c r="D949" s="55" t="s">
        <v>564</v>
      </c>
      <c r="E949" s="55" t="s">
        <v>566</v>
      </c>
      <c r="F949" s="55" t="s">
        <v>209</v>
      </c>
      <c r="G949" s="55" t="s">
        <v>362</v>
      </c>
      <c r="H949" s="56">
        <v>23.43</v>
      </c>
    </row>
    <row r="950" spans="1:8" ht="14">
      <c r="A950" s="54" t="s">
        <v>492</v>
      </c>
      <c r="B950" s="55" t="s">
        <v>423</v>
      </c>
      <c r="C950" s="55" t="s">
        <v>246</v>
      </c>
      <c r="D950" s="55" t="s">
        <v>564</v>
      </c>
      <c r="E950" s="55" t="s">
        <v>567</v>
      </c>
      <c r="F950" s="55" t="s">
        <v>209</v>
      </c>
      <c r="G950" s="55" t="s">
        <v>362</v>
      </c>
      <c r="H950" s="56">
        <v>17.22</v>
      </c>
    </row>
    <row r="951" spans="1:8" ht="14">
      <c r="A951" s="54" t="s">
        <v>492</v>
      </c>
      <c r="B951" s="55" t="s">
        <v>423</v>
      </c>
      <c r="C951" s="55" t="s">
        <v>246</v>
      </c>
      <c r="D951" s="55" t="s">
        <v>564</v>
      </c>
      <c r="E951" s="55" t="s">
        <v>568</v>
      </c>
      <c r="F951" s="55" t="s">
        <v>209</v>
      </c>
      <c r="G951" s="55" t="s">
        <v>362</v>
      </c>
      <c r="H951" s="56">
        <v>22.42</v>
      </c>
    </row>
    <row r="952" spans="1:8" ht="14">
      <c r="A952" s="54" t="s">
        <v>492</v>
      </c>
      <c r="B952" s="55" t="s">
        <v>423</v>
      </c>
      <c r="C952" s="55" t="s">
        <v>287</v>
      </c>
      <c r="D952" s="55">
        <v>0</v>
      </c>
      <c r="E952" s="55" t="s">
        <v>569</v>
      </c>
      <c r="F952" s="55" t="s">
        <v>209</v>
      </c>
      <c r="G952" s="55" t="s">
        <v>362</v>
      </c>
      <c r="H952" s="56">
        <v>22.06</v>
      </c>
    </row>
    <row r="953" spans="1:8" ht="14">
      <c r="A953" s="54" t="s">
        <v>492</v>
      </c>
      <c r="B953" s="55" t="s">
        <v>423</v>
      </c>
      <c r="C953" s="55" t="s">
        <v>287</v>
      </c>
      <c r="D953" s="55">
        <v>0</v>
      </c>
      <c r="E953" s="55" t="s">
        <v>570</v>
      </c>
      <c r="F953" s="55" t="s">
        <v>209</v>
      </c>
      <c r="G953" s="55" t="s">
        <v>362</v>
      </c>
      <c r="H953" s="56">
        <v>24.88</v>
      </c>
    </row>
    <row r="954" spans="1:8" ht="14">
      <c r="A954" s="54" t="s">
        <v>492</v>
      </c>
      <c r="B954" s="55" t="s">
        <v>423</v>
      </c>
      <c r="C954" s="55" t="s">
        <v>287</v>
      </c>
      <c r="D954" s="55">
        <v>0</v>
      </c>
      <c r="E954" s="55" t="s">
        <v>571</v>
      </c>
      <c r="F954" s="55" t="s">
        <v>209</v>
      </c>
      <c r="G954" s="55" t="s">
        <v>362</v>
      </c>
      <c r="H954" s="56">
        <v>23.47</v>
      </c>
    </row>
    <row r="955" spans="1:8" ht="14">
      <c r="A955" s="54" t="s">
        <v>492</v>
      </c>
      <c r="B955" s="55" t="s">
        <v>423</v>
      </c>
      <c r="C955" s="55" t="s">
        <v>287</v>
      </c>
      <c r="D955" s="55">
        <v>0</v>
      </c>
      <c r="E955" s="55" t="s">
        <v>572</v>
      </c>
      <c r="F955" s="55" t="s">
        <v>209</v>
      </c>
      <c r="G955" s="55" t="s">
        <v>362</v>
      </c>
      <c r="H955" s="56">
        <v>24.88</v>
      </c>
    </row>
    <row r="956" spans="1:8" ht="14">
      <c r="A956" s="54" t="s">
        <v>492</v>
      </c>
      <c r="B956" s="55" t="s">
        <v>423</v>
      </c>
      <c r="C956" s="55" t="s">
        <v>287</v>
      </c>
      <c r="D956" s="55">
        <v>0</v>
      </c>
      <c r="E956" s="55" t="s">
        <v>573</v>
      </c>
      <c r="F956" s="55" t="s">
        <v>209</v>
      </c>
      <c r="G956" s="55" t="s">
        <v>362</v>
      </c>
      <c r="H956" s="56">
        <v>20.66</v>
      </c>
    </row>
    <row r="957" spans="1:8" ht="14">
      <c r="A957" s="54" t="s">
        <v>492</v>
      </c>
      <c r="B957" s="55" t="s">
        <v>423</v>
      </c>
      <c r="C957" s="55" t="s">
        <v>287</v>
      </c>
      <c r="D957" s="55">
        <v>0</v>
      </c>
      <c r="E957" s="55" t="s">
        <v>574</v>
      </c>
      <c r="F957" s="55" t="s">
        <v>209</v>
      </c>
      <c r="G957" s="55" t="s">
        <v>362</v>
      </c>
      <c r="H957" s="56">
        <v>28.42</v>
      </c>
    </row>
    <row r="958" spans="1:8" ht="14">
      <c r="A958" s="54" t="s">
        <v>492</v>
      </c>
      <c r="B958" s="55" t="s">
        <v>423</v>
      </c>
      <c r="C958" s="55" t="s">
        <v>287</v>
      </c>
      <c r="D958" s="55">
        <v>0</v>
      </c>
      <c r="E958" s="55" t="s">
        <v>575</v>
      </c>
      <c r="F958" s="55" t="s">
        <v>209</v>
      </c>
      <c r="G958" s="55" t="s">
        <v>362</v>
      </c>
      <c r="H958" s="56">
        <v>24.9</v>
      </c>
    </row>
    <row r="959" spans="1:8" ht="14">
      <c r="A959" s="54" t="s">
        <v>492</v>
      </c>
      <c r="B959" s="55" t="s">
        <v>423</v>
      </c>
      <c r="C959" s="55" t="s">
        <v>287</v>
      </c>
      <c r="D959" s="55">
        <v>0</v>
      </c>
      <c r="E959" s="55" t="s">
        <v>576</v>
      </c>
      <c r="F959" s="55" t="s">
        <v>209</v>
      </c>
      <c r="G959" s="55" t="s">
        <v>362</v>
      </c>
      <c r="H959" s="56">
        <v>28.43</v>
      </c>
    </row>
    <row r="960" spans="1:8" ht="14">
      <c r="A960" s="54" t="s">
        <v>492</v>
      </c>
      <c r="B960" s="55" t="s">
        <v>423</v>
      </c>
      <c r="C960" s="55" t="s">
        <v>287</v>
      </c>
      <c r="D960" s="55">
        <v>0</v>
      </c>
      <c r="E960" s="55" t="s">
        <v>577</v>
      </c>
      <c r="F960" s="55" t="s">
        <v>209</v>
      </c>
      <c r="G960" s="55" t="s">
        <v>362</v>
      </c>
      <c r="H960" s="56">
        <v>22.07</v>
      </c>
    </row>
    <row r="961" spans="1:8" ht="14">
      <c r="A961" s="54" t="s">
        <v>492</v>
      </c>
      <c r="B961" s="55" t="s">
        <v>423</v>
      </c>
      <c r="C961" s="55" t="s">
        <v>287</v>
      </c>
      <c r="D961" s="55">
        <v>0</v>
      </c>
      <c r="E961" s="55" t="s">
        <v>578</v>
      </c>
      <c r="F961" s="55" t="s">
        <v>209</v>
      </c>
      <c r="G961" s="55" t="s">
        <v>362</v>
      </c>
      <c r="H961" s="56">
        <v>29.83</v>
      </c>
    </row>
    <row r="962" spans="1:8" ht="14">
      <c r="A962" s="54" t="s">
        <v>492</v>
      </c>
      <c r="B962" s="55" t="s">
        <v>423</v>
      </c>
      <c r="C962" s="55" t="s">
        <v>287</v>
      </c>
      <c r="D962" s="55">
        <v>0</v>
      </c>
      <c r="E962" s="55" t="s">
        <v>579</v>
      </c>
      <c r="F962" s="55" t="s">
        <v>209</v>
      </c>
      <c r="G962" s="55" t="s">
        <v>362</v>
      </c>
      <c r="H962" s="56">
        <v>26.31</v>
      </c>
    </row>
    <row r="963" spans="1:8" ht="14">
      <c r="A963" s="54" t="s">
        <v>492</v>
      </c>
      <c r="B963" s="55" t="s">
        <v>423</v>
      </c>
      <c r="C963" s="55" t="s">
        <v>287</v>
      </c>
      <c r="D963" s="55">
        <v>0</v>
      </c>
      <c r="E963" s="55" t="s">
        <v>580</v>
      </c>
      <c r="F963" s="55" t="s">
        <v>209</v>
      </c>
      <c r="G963" s="55" t="s">
        <v>362</v>
      </c>
      <c r="H963" s="56">
        <v>28.42</v>
      </c>
    </row>
    <row r="964" spans="1:8" ht="14">
      <c r="A964" s="54" t="s">
        <v>492</v>
      </c>
      <c r="B964" s="55" t="s">
        <v>423</v>
      </c>
      <c r="C964" s="55" t="s">
        <v>287</v>
      </c>
      <c r="D964" s="55">
        <v>0</v>
      </c>
      <c r="E964" s="55" t="s">
        <v>581</v>
      </c>
      <c r="F964" s="55" t="s">
        <v>209</v>
      </c>
      <c r="G964" s="55" t="s">
        <v>362</v>
      </c>
      <c r="H964" s="56">
        <v>24.88</v>
      </c>
    </row>
    <row r="965" spans="1:8" ht="14">
      <c r="A965" s="54" t="s">
        <v>492</v>
      </c>
      <c r="B965" s="55" t="s">
        <v>423</v>
      </c>
      <c r="C965" s="55" t="s">
        <v>287</v>
      </c>
      <c r="D965" s="55">
        <v>0</v>
      </c>
      <c r="E965" s="55" t="s">
        <v>582</v>
      </c>
      <c r="F965" s="55" t="s">
        <v>209</v>
      </c>
      <c r="G965" s="55" t="s">
        <v>362</v>
      </c>
      <c r="H965" s="56">
        <v>26.3</v>
      </c>
    </row>
    <row r="966" spans="1:8" ht="14">
      <c r="A966" s="54" t="s">
        <v>492</v>
      </c>
      <c r="B966" s="55" t="s">
        <v>423</v>
      </c>
      <c r="C966" s="55" t="s">
        <v>287</v>
      </c>
      <c r="D966" s="55">
        <v>0</v>
      </c>
      <c r="E966" s="55" t="s">
        <v>583</v>
      </c>
      <c r="F966" s="55" t="s">
        <v>209</v>
      </c>
      <c r="G966" s="55" t="s">
        <v>362</v>
      </c>
      <c r="H966" s="56">
        <v>27.71</v>
      </c>
    </row>
    <row r="967" spans="1:8" ht="14">
      <c r="A967" s="54" t="s">
        <v>492</v>
      </c>
      <c r="B967" s="55" t="s">
        <v>423</v>
      </c>
      <c r="C967" s="55" t="s">
        <v>287</v>
      </c>
      <c r="D967" s="55">
        <v>0</v>
      </c>
      <c r="E967" s="55" t="s">
        <v>584</v>
      </c>
      <c r="F967" s="55" t="s">
        <v>209</v>
      </c>
      <c r="G967" s="55" t="s">
        <v>362</v>
      </c>
      <c r="H967" s="56">
        <v>10.47</v>
      </c>
    </row>
    <row r="968" spans="1:8" ht="14">
      <c r="A968" s="54" t="s">
        <v>492</v>
      </c>
      <c r="B968" s="55" t="s">
        <v>423</v>
      </c>
      <c r="C968" s="55" t="s">
        <v>287</v>
      </c>
      <c r="D968" s="55">
        <v>0</v>
      </c>
      <c r="E968" s="55" t="s">
        <v>585</v>
      </c>
      <c r="F968" s="55" t="s">
        <v>209</v>
      </c>
      <c r="G968" s="55" t="s">
        <v>362</v>
      </c>
      <c r="H968" s="56">
        <v>10.47</v>
      </c>
    </row>
    <row r="969" spans="1:8" ht="14">
      <c r="A969" s="54" t="s">
        <v>492</v>
      </c>
      <c r="B969" s="55" t="s">
        <v>423</v>
      </c>
      <c r="C969" s="55" t="s">
        <v>287</v>
      </c>
      <c r="D969" s="55">
        <v>0</v>
      </c>
      <c r="E969" s="55" t="s">
        <v>586</v>
      </c>
      <c r="F969" s="55" t="s">
        <v>209</v>
      </c>
      <c r="G969" s="55" t="s">
        <v>362</v>
      </c>
      <c r="H969" s="56">
        <v>13.58</v>
      </c>
    </row>
    <row r="970" spans="1:8" ht="14">
      <c r="A970" s="54" t="s">
        <v>492</v>
      </c>
      <c r="B970" s="55" t="s">
        <v>423</v>
      </c>
      <c r="C970" s="55" t="s">
        <v>287</v>
      </c>
      <c r="D970" s="55">
        <v>0</v>
      </c>
      <c r="E970" s="55" t="s">
        <v>587</v>
      </c>
      <c r="F970" s="55" t="s">
        <v>209</v>
      </c>
      <c r="G970" s="55" t="s">
        <v>362</v>
      </c>
      <c r="H970" s="56">
        <v>13.58</v>
      </c>
    </row>
    <row r="971" spans="1:8" ht="14">
      <c r="A971" s="54" t="s">
        <v>492</v>
      </c>
      <c r="B971" s="55" t="s">
        <v>452</v>
      </c>
      <c r="C971" s="55" t="s">
        <v>287</v>
      </c>
      <c r="D971" s="55">
        <v>0</v>
      </c>
      <c r="E971" s="55" t="s">
        <v>588</v>
      </c>
      <c r="F971" s="55" t="s">
        <v>209</v>
      </c>
      <c r="G971" s="55" t="s">
        <v>355</v>
      </c>
      <c r="H971" s="56">
        <v>19.940000000000001</v>
      </c>
    </row>
    <row r="972" spans="1:8" ht="14">
      <c r="A972" s="54" t="s">
        <v>589</v>
      </c>
      <c r="B972" s="55" t="s">
        <v>452</v>
      </c>
      <c r="C972" s="55" t="s">
        <v>205</v>
      </c>
      <c r="D972" s="55">
        <v>0</v>
      </c>
      <c r="E972" s="55" t="s">
        <v>590</v>
      </c>
      <c r="F972" s="55" t="s">
        <v>209</v>
      </c>
      <c r="G972" s="55" t="s">
        <v>362</v>
      </c>
      <c r="H972" s="56">
        <v>13.32</v>
      </c>
    </row>
    <row r="973" spans="1:8" ht="14">
      <c r="A973" s="54" t="s">
        <v>589</v>
      </c>
      <c r="B973" s="55" t="s">
        <v>452</v>
      </c>
      <c r="C973" s="55" t="s">
        <v>205</v>
      </c>
      <c r="D973" s="55">
        <v>0</v>
      </c>
      <c r="E973" s="55" t="s">
        <v>590</v>
      </c>
      <c r="F973" s="55" t="s">
        <v>209</v>
      </c>
      <c r="G973" s="55" t="s">
        <v>482</v>
      </c>
      <c r="H973" s="56">
        <v>13.5</v>
      </c>
    </row>
    <row r="974" spans="1:8" ht="14">
      <c r="A974" s="54" t="s">
        <v>589</v>
      </c>
      <c r="B974" s="55" t="s">
        <v>452</v>
      </c>
      <c r="C974" s="55" t="s">
        <v>205</v>
      </c>
      <c r="D974" s="55">
        <v>0</v>
      </c>
      <c r="E974" s="55" t="s">
        <v>590</v>
      </c>
      <c r="F974" s="55" t="s">
        <v>209</v>
      </c>
      <c r="G974" s="55" t="s">
        <v>483</v>
      </c>
      <c r="H974" s="56">
        <v>14.99</v>
      </c>
    </row>
    <row r="975" spans="1:8" ht="14">
      <c r="A975" s="54" t="s">
        <v>589</v>
      </c>
      <c r="B975" s="55" t="s">
        <v>452</v>
      </c>
      <c r="C975" s="55" t="s">
        <v>205</v>
      </c>
      <c r="D975" s="55">
        <v>0</v>
      </c>
      <c r="E975" s="55" t="s">
        <v>590</v>
      </c>
      <c r="F975" s="55" t="s">
        <v>209</v>
      </c>
      <c r="G975" s="55" t="s">
        <v>332</v>
      </c>
      <c r="H975" s="56">
        <v>16.29</v>
      </c>
    </row>
    <row r="976" spans="1:8" ht="14">
      <c r="A976" s="54" t="s">
        <v>589</v>
      </c>
      <c r="B976" s="55" t="s">
        <v>452</v>
      </c>
      <c r="C976" s="55" t="s">
        <v>205</v>
      </c>
      <c r="D976" s="55">
        <v>0</v>
      </c>
      <c r="E976" s="55" t="s">
        <v>590</v>
      </c>
      <c r="F976" s="55" t="s">
        <v>209</v>
      </c>
      <c r="G976" s="55" t="s">
        <v>295</v>
      </c>
      <c r="H976" s="56">
        <v>16.29</v>
      </c>
    </row>
    <row r="977" spans="1:8" ht="14">
      <c r="A977" s="54" t="s">
        <v>589</v>
      </c>
      <c r="B977" s="55" t="s">
        <v>452</v>
      </c>
      <c r="C977" s="55" t="s">
        <v>205</v>
      </c>
      <c r="D977" s="55">
        <v>0</v>
      </c>
      <c r="E977" s="55" t="s">
        <v>591</v>
      </c>
      <c r="F977" s="55" t="s">
        <v>209</v>
      </c>
      <c r="G977" s="55" t="s">
        <v>482</v>
      </c>
      <c r="H977" s="56">
        <v>12.4</v>
      </c>
    </row>
    <row r="978" spans="1:8" ht="14">
      <c r="A978" s="54" t="s">
        <v>589</v>
      </c>
      <c r="B978" s="55" t="s">
        <v>452</v>
      </c>
      <c r="C978" s="55" t="s">
        <v>205</v>
      </c>
      <c r="D978" s="55">
        <v>0</v>
      </c>
      <c r="E978" s="55" t="s">
        <v>591</v>
      </c>
      <c r="F978" s="55" t="s">
        <v>209</v>
      </c>
      <c r="G978" s="55" t="s">
        <v>592</v>
      </c>
      <c r="H978" s="56">
        <v>12.82</v>
      </c>
    </row>
    <row r="979" spans="1:8" ht="14">
      <c r="A979" s="54" t="s">
        <v>589</v>
      </c>
      <c r="B979" s="55" t="s">
        <v>452</v>
      </c>
      <c r="C979" s="55" t="s">
        <v>205</v>
      </c>
      <c r="D979" s="55">
        <v>0</v>
      </c>
      <c r="E979" s="55" t="s">
        <v>591</v>
      </c>
      <c r="F979" s="55" t="s">
        <v>209</v>
      </c>
      <c r="G979" s="55" t="s">
        <v>593</v>
      </c>
      <c r="H979" s="56">
        <v>12.05</v>
      </c>
    </row>
    <row r="980" spans="1:8" ht="14">
      <c r="A980" s="54" t="s">
        <v>589</v>
      </c>
      <c r="B980" s="55" t="s">
        <v>452</v>
      </c>
      <c r="C980" s="55" t="s">
        <v>205</v>
      </c>
      <c r="D980" s="55">
        <v>0</v>
      </c>
      <c r="E980" s="55" t="s">
        <v>591</v>
      </c>
      <c r="F980" s="55" t="s">
        <v>209</v>
      </c>
      <c r="G980" s="55" t="s">
        <v>594</v>
      </c>
      <c r="H980" s="56">
        <v>12.26</v>
      </c>
    </row>
    <row r="981" spans="1:8" ht="14">
      <c r="A981" s="54" t="s">
        <v>589</v>
      </c>
      <c r="B981" s="55" t="s">
        <v>452</v>
      </c>
      <c r="C981" s="55" t="s">
        <v>205</v>
      </c>
      <c r="D981" s="55">
        <v>0</v>
      </c>
      <c r="E981" s="55" t="s">
        <v>591</v>
      </c>
      <c r="F981" s="55" t="s">
        <v>209</v>
      </c>
      <c r="G981" s="55" t="s">
        <v>595</v>
      </c>
      <c r="H981" s="56">
        <v>12.4</v>
      </c>
    </row>
    <row r="982" spans="1:8" ht="14">
      <c r="A982" s="54" t="s">
        <v>589</v>
      </c>
      <c r="B982" s="55" t="s">
        <v>452</v>
      </c>
      <c r="C982" s="55" t="s">
        <v>205</v>
      </c>
      <c r="D982" s="55">
        <v>0</v>
      </c>
      <c r="E982" s="55" t="s">
        <v>591</v>
      </c>
      <c r="F982" s="55" t="s">
        <v>209</v>
      </c>
      <c r="G982" s="55" t="s">
        <v>596</v>
      </c>
      <c r="H982" s="56">
        <v>12.46</v>
      </c>
    </row>
    <row r="983" spans="1:8" ht="14">
      <c r="A983" s="54" t="s">
        <v>589</v>
      </c>
      <c r="B983" s="55" t="s">
        <v>452</v>
      </c>
      <c r="C983" s="55" t="s">
        <v>205</v>
      </c>
      <c r="D983" s="55">
        <v>0</v>
      </c>
      <c r="E983" s="55" t="s">
        <v>597</v>
      </c>
      <c r="F983" s="55" t="s">
        <v>209</v>
      </c>
      <c r="G983" s="55" t="s">
        <v>334</v>
      </c>
      <c r="H983" s="56">
        <v>9.98</v>
      </c>
    </row>
    <row r="984" spans="1:8" ht="14">
      <c r="A984" s="54" t="s">
        <v>589</v>
      </c>
      <c r="B984" s="55" t="s">
        <v>452</v>
      </c>
      <c r="C984" s="55" t="s">
        <v>205</v>
      </c>
      <c r="D984" s="55">
        <v>0</v>
      </c>
      <c r="E984" s="55" t="s">
        <v>597</v>
      </c>
      <c r="F984" s="55" t="s">
        <v>209</v>
      </c>
      <c r="G984" s="55" t="s">
        <v>332</v>
      </c>
      <c r="H984" s="56">
        <v>9.98</v>
      </c>
    </row>
    <row r="985" spans="1:8" ht="14">
      <c r="A985" s="54" t="s">
        <v>589</v>
      </c>
      <c r="B985" s="55" t="s">
        <v>452</v>
      </c>
      <c r="C985" s="55" t="s">
        <v>205</v>
      </c>
      <c r="D985" s="55">
        <v>0</v>
      </c>
      <c r="E985" s="55" t="s">
        <v>597</v>
      </c>
      <c r="F985" s="55" t="s">
        <v>209</v>
      </c>
      <c r="G985" s="55" t="s">
        <v>295</v>
      </c>
      <c r="H985" s="56">
        <v>9.98</v>
      </c>
    </row>
    <row r="986" spans="1:8" ht="14">
      <c r="A986" s="54" t="s">
        <v>589</v>
      </c>
      <c r="B986" s="55" t="s">
        <v>452</v>
      </c>
      <c r="C986" s="55" t="s">
        <v>205</v>
      </c>
      <c r="D986" s="55">
        <v>0</v>
      </c>
      <c r="E986" s="55" t="s">
        <v>598</v>
      </c>
      <c r="F986" s="55" t="s">
        <v>209</v>
      </c>
      <c r="G986" s="55" t="s">
        <v>334</v>
      </c>
      <c r="H986" s="56">
        <v>9.98</v>
      </c>
    </row>
    <row r="987" spans="1:8" ht="14">
      <c r="A987" s="54" t="s">
        <v>589</v>
      </c>
      <c r="B987" s="55" t="s">
        <v>452</v>
      </c>
      <c r="C987" s="55" t="s">
        <v>205</v>
      </c>
      <c r="D987" s="55">
        <v>0</v>
      </c>
      <c r="E987" s="55" t="s">
        <v>598</v>
      </c>
      <c r="F987" s="55" t="s">
        <v>209</v>
      </c>
      <c r="G987" s="55" t="s">
        <v>332</v>
      </c>
      <c r="H987" s="56">
        <v>9.98</v>
      </c>
    </row>
    <row r="988" spans="1:8" ht="14">
      <c r="A988" s="54" t="s">
        <v>589</v>
      </c>
      <c r="B988" s="55" t="s">
        <v>452</v>
      </c>
      <c r="C988" s="55" t="s">
        <v>205</v>
      </c>
      <c r="D988" s="55">
        <v>0</v>
      </c>
      <c r="E988" s="55" t="s">
        <v>598</v>
      </c>
      <c r="F988" s="55" t="s">
        <v>209</v>
      </c>
      <c r="G988" s="55" t="s">
        <v>295</v>
      </c>
      <c r="H988" s="56">
        <v>9.98</v>
      </c>
    </row>
    <row r="989" spans="1:8" ht="14">
      <c r="A989" s="54" t="s">
        <v>589</v>
      </c>
      <c r="B989" s="55" t="s">
        <v>452</v>
      </c>
      <c r="C989" s="55" t="s">
        <v>205</v>
      </c>
      <c r="D989" s="55">
        <v>0</v>
      </c>
      <c r="E989" s="55" t="s">
        <v>599</v>
      </c>
      <c r="F989" s="55" t="s">
        <v>209</v>
      </c>
      <c r="G989" s="55" t="s">
        <v>334</v>
      </c>
      <c r="H989" s="56">
        <v>9.64</v>
      </c>
    </row>
    <row r="990" spans="1:8" ht="14">
      <c r="A990" s="54" t="s">
        <v>589</v>
      </c>
      <c r="B990" s="55" t="s">
        <v>452</v>
      </c>
      <c r="C990" s="55" t="s">
        <v>205</v>
      </c>
      <c r="D990" s="55">
        <v>0</v>
      </c>
      <c r="E990" s="55" t="s">
        <v>599</v>
      </c>
      <c r="F990" s="55" t="s">
        <v>209</v>
      </c>
      <c r="G990" s="55" t="s">
        <v>332</v>
      </c>
      <c r="H990" s="56">
        <v>9.64</v>
      </c>
    </row>
    <row r="991" spans="1:8" ht="14">
      <c r="A991" s="54" t="s">
        <v>589</v>
      </c>
      <c r="B991" s="55" t="s">
        <v>452</v>
      </c>
      <c r="C991" s="55" t="s">
        <v>205</v>
      </c>
      <c r="D991" s="55">
        <v>0</v>
      </c>
      <c r="E991" s="55" t="s">
        <v>600</v>
      </c>
      <c r="F991" s="55" t="s">
        <v>209</v>
      </c>
      <c r="G991" s="55" t="s">
        <v>362</v>
      </c>
      <c r="H991" s="56">
        <v>9.56</v>
      </c>
    </row>
    <row r="992" spans="1:8" ht="14">
      <c r="A992" s="54" t="s">
        <v>589</v>
      </c>
      <c r="B992" s="55" t="s">
        <v>452</v>
      </c>
      <c r="C992" s="55" t="s">
        <v>205</v>
      </c>
      <c r="D992" s="55">
        <v>0</v>
      </c>
      <c r="E992" s="55" t="s">
        <v>600</v>
      </c>
      <c r="F992" s="55" t="s">
        <v>209</v>
      </c>
      <c r="G992" s="55" t="s">
        <v>483</v>
      </c>
      <c r="H992" s="56">
        <v>9.2200000000000006</v>
      </c>
    </row>
    <row r="993" spans="1:8" ht="14">
      <c r="A993" s="54" t="s">
        <v>589</v>
      </c>
      <c r="B993" s="55" t="s">
        <v>452</v>
      </c>
      <c r="C993" s="55" t="s">
        <v>205</v>
      </c>
      <c r="D993" s="55">
        <v>0</v>
      </c>
      <c r="E993" s="55" t="s">
        <v>600</v>
      </c>
      <c r="F993" s="55" t="s">
        <v>209</v>
      </c>
      <c r="G993" s="55" t="s">
        <v>220</v>
      </c>
      <c r="H993" s="56">
        <v>9.42</v>
      </c>
    </row>
    <row r="994" spans="1:8" ht="14">
      <c r="A994" s="54" t="s">
        <v>589</v>
      </c>
      <c r="B994" s="55" t="s">
        <v>452</v>
      </c>
      <c r="C994" s="55" t="s">
        <v>205</v>
      </c>
      <c r="D994" s="55">
        <v>0</v>
      </c>
      <c r="E994" s="55" t="s">
        <v>601</v>
      </c>
      <c r="F994" s="55" t="s">
        <v>209</v>
      </c>
      <c r="G994" s="55" t="s">
        <v>482</v>
      </c>
      <c r="H994" s="56">
        <v>12.4</v>
      </c>
    </row>
    <row r="995" spans="1:8" ht="14">
      <c r="A995" s="54" t="s">
        <v>589</v>
      </c>
      <c r="B995" s="55" t="s">
        <v>452</v>
      </c>
      <c r="C995" s="55" t="s">
        <v>205</v>
      </c>
      <c r="D995" s="55">
        <v>0</v>
      </c>
      <c r="E995" s="55" t="s">
        <v>601</v>
      </c>
      <c r="F995" s="55" t="s">
        <v>209</v>
      </c>
      <c r="G995" s="55" t="s">
        <v>592</v>
      </c>
      <c r="H995" s="56">
        <v>12.82</v>
      </c>
    </row>
    <row r="996" spans="1:8" ht="14">
      <c r="A996" s="54" t="s">
        <v>589</v>
      </c>
      <c r="B996" s="55" t="s">
        <v>452</v>
      </c>
      <c r="C996" s="55" t="s">
        <v>205</v>
      </c>
      <c r="D996" s="55">
        <v>0</v>
      </c>
      <c r="E996" s="55" t="s">
        <v>601</v>
      </c>
      <c r="F996" s="55" t="s">
        <v>209</v>
      </c>
      <c r="G996" s="55" t="s">
        <v>593</v>
      </c>
      <c r="H996" s="56">
        <v>12.05</v>
      </c>
    </row>
    <row r="997" spans="1:8" ht="14">
      <c r="A997" s="54" t="s">
        <v>589</v>
      </c>
      <c r="B997" s="55" t="s">
        <v>452</v>
      </c>
      <c r="C997" s="55" t="s">
        <v>205</v>
      </c>
      <c r="D997" s="55">
        <v>0</v>
      </c>
      <c r="E997" s="55" t="s">
        <v>601</v>
      </c>
      <c r="F997" s="55" t="s">
        <v>209</v>
      </c>
      <c r="G997" s="55" t="s">
        <v>594</v>
      </c>
      <c r="H997" s="56">
        <v>12.26</v>
      </c>
    </row>
    <row r="998" spans="1:8" ht="14">
      <c r="A998" s="54" t="s">
        <v>589</v>
      </c>
      <c r="B998" s="55" t="s">
        <v>452</v>
      </c>
      <c r="C998" s="55" t="s">
        <v>205</v>
      </c>
      <c r="D998" s="55">
        <v>0</v>
      </c>
      <c r="E998" s="55" t="s">
        <v>601</v>
      </c>
      <c r="F998" s="55" t="s">
        <v>209</v>
      </c>
      <c r="G998" s="55" t="s">
        <v>595</v>
      </c>
      <c r="H998" s="56">
        <v>12.4</v>
      </c>
    </row>
    <row r="999" spans="1:8" ht="14">
      <c r="A999" s="54" t="s">
        <v>589</v>
      </c>
      <c r="B999" s="55" t="s">
        <v>452</v>
      </c>
      <c r="C999" s="55" t="s">
        <v>205</v>
      </c>
      <c r="D999" s="55">
        <v>0</v>
      </c>
      <c r="E999" s="55" t="s">
        <v>601</v>
      </c>
      <c r="F999" s="55" t="s">
        <v>209</v>
      </c>
      <c r="G999" s="55" t="s">
        <v>596</v>
      </c>
      <c r="H999" s="56">
        <v>12.46</v>
      </c>
    </row>
    <row r="1000" spans="1:8" ht="14">
      <c r="A1000" s="54" t="s">
        <v>589</v>
      </c>
      <c r="B1000" s="55" t="s">
        <v>452</v>
      </c>
      <c r="C1000" s="55" t="s">
        <v>205</v>
      </c>
      <c r="D1000" s="55">
        <v>0</v>
      </c>
      <c r="E1000" s="55" t="s">
        <v>602</v>
      </c>
      <c r="F1000" s="55" t="s">
        <v>209</v>
      </c>
      <c r="G1000" s="55" t="s">
        <v>362</v>
      </c>
      <c r="H1000" s="56">
        <v>13.46</v>
      </c>
    </row>
    <row r="1001" spans="1:8" ht="14">
      <c r="A1001" s="54" t="s">
        <v>589</v>
      </c>
      <c r="B1001" s="55" t="s">
        <v>452</v>
      </c>
      <c r="C1001" s="55" t="s">
        <v>205</v>
      </c>
      <c r="D1001" s="55">
        <v>0</v>
      </c>
      <c r="E1001" s="55" t="s">
        <v>602</v>
      </c>
      <c r="F1001" s="55" t="s">
        <v>209</v>
      </c>
      <c r="G1001" s="55" t="s">
        <v>482</v>
      </c>
      <c r="H1001" s="56">
        <v>14.45</v>
      </c>
    </row>
    <row r="1002" spans="1:8" ht="14">
      <c r="A1002" s="54" t="s">
        <v>589</v>
      </c>
      <c r="B1002" s="55" t="s">
        <v>452</v>
      </c>
      <c r="C1002" s="55" t="s">
        <v>205</v>
      </c>
      <c r="D1002" s="55">
        <v>0</v>
      </c>
      <c r="E1002" s="55" t="s">
        <v>602</v>
      </c>
      <c r="F1002" s="55" t="s">
        <v>209</v>
      </c>
      <c r="G1002" s="55" t="s">
        <v>483</v>
      </c>
      <c r="H1002" s="56">
        <v>15.72</v>
      </c>
    </row>
    <row r="1003" spans="1:8" ht="14">
      <c r="A1003" s="54" t="s">
        <v>589</v>
      </c>
      <c r="B1003" s="55" t="s">
        <v>452</v>
      </c>
      <c r="C1003" s="55" t="s">
        <v>205</v>
      </c>
      <c r="D1003" s="55">
        <v>0</v>
      </c>
      <c r="E1003" s="55" t="s">
        <v>602</v>
      </c>
      <c r="F1003" s="55" t="s">
        <v>209</v>
      </c>
      <c r="G1003" s="55" t="s">
        <v>603</v>
      </c>
      <c r="H1003" s="56">
        <v>14.45</v>
      </c>
    </row>
    <row r="1004" spans="1:8" ht="14">
      <c r="A1004" s="54" t="s">
        <v>589</v>
      </c>
      <c r="B1004" s="55" t="s">
        <v>452</v>
      </c>
      <c r="C1004" s="55" t="s">
        <v>205</v>
      </c>
      <c r="D1004" s="55">
        <v>0</v>
      </c>
      <c r="E1004" s="55" t="s">
        <v>604</v>
      </c>
      <c r="F1004" s="55" t="s">
        <v>209</v>
      </c>
      <c r="G1004" s="55" t="s">
        <v>483</v>
      </c>
      <c r="H1004" s="56">
        <v>9.36</v>
      </c>
    </row>
    <row r="1005" spans="1:8" ht="14">
      <c r="A1005" s="54" t="s">
        <v>589</v>
      </c>
      <c r="B1005" s="55" t="s">
        <v>452</v>
      </c>
      <c r="C1005" s="55" t="s">
        <v>246</v>
      </c>
      <c r="D1005" s="55" t="s">
        <v>605</v>
      </c>
      <c r="E1005" s="55" t="s">
        <v>606</v>
      </c>
      <c r="F1005" s="55" t="s">
        <v>209</v>
      </c>
      <c r="G1005" s="55" t="s">
        <v>362</v>
      </c>
      <c r="H1005" s="56">
        <v>16.91</v>
      </c>
    </row>
    <row r="1006" spans="1:8" ht="14">
      <c r="A1006" s="54" t="s">
        <v>589</v>
      </c>
      <c r="B1006" s="55" t="s">
        <v>452</v>
      </c>
      <c r="C1006" s="55" t="s">
        <v>246</v>
      </c>
      <c r="D1006" s="55" t="s">
        <v>605</v>
      </c>
      <c r="E1006" s="55" t="s">
        <v>606</v>
      </c>
      <c r="F1006" s="55" t="s">
        <v>209</v>
      </c>
      <c r="G1006" s="55" t="s">
        <v>482</v>
      </c>
      <c r="H1006" s="56">
        <v>19.18</v>
      </c>
    </row>
    <row r="1007" spans="1:8" ht="14">
      <c r="A1007" s="54" t="s">
        <v>589</v>
      </c>
      <c r="B1007" s="55" t="s">
        <v>452</v>
      </c>
      <c r="C1007" s="55" t="s">
        <v>246</v>
      </c>
      <c r="D1007" s="55" t="s">
        <v>605</v>
      </c>
      <c r="E1007" s="55" t="s">
        <v>607</v>
      </c>
      <c r="F1007" s="55" t="s">
        <v>209</v>
      </c>
      <c r="G1007" s="55" t="s">
        <v>362</v>
      </c>
      <c r="H1007" s="56">
        <v>16.260000000000002</v>
      </c>
    </row>
    <row r="1008" spans="1:8" ht="14">
      <c r="A1008" s="54" t="s">
        <v>589</v>
      </c>
      <c r="B1008" s="55" t="s">
        <v>452</v>
      </c>
      <c r="C1008" s="55" t="s">
        <v>246</v>
      </c>
      <c r="D1008" s="55" t="s">
        <v>605</v>
      </c>
      <c r="E1008" s="55" t="s">
        <v>607</v>
      </c>
      <c r="F1008" s="55" t="s">
        <v>209</v>
      </c>
      <c r="G1008" s="55" t="s">
        <v>482</v>
      </c>
      <c r="H1008" s="56">
        <v>18.53</v>
      </c>
    </row>
    <row r="1009" spans="1:8" ht="14">
      <c r="A1009" s="54" t="s">
        <v>589</v>
      </c>
      <c r="B1009" s="55" t="s">
        <v>452</v>
      </c>
      <c r="C1009" s="55" t="s">
        <v>246</v>
      </c>
      <c r="D1009" s="55" t="s">
        <v>605</v>
      </c>
      <c r="E1009" s="55" t="s">
        <v>608</v>
      </c>
      <c r="F1009" s="55" t="s">
        <v>209</v>
      </c>
      <c r="G1009" s="55" t="s">
        <v>362</v>
      </c>
      <c r="H1009" s="56">
        <v>15.93</v>
      </c>
    </row>
    <row r="1010" spans="1:8" ht="14">
      <c r="A1010" s="54" t="s">
        <v>589</v>
      </c>
      <c r="B1010" s="55" t="s">
        <v>452</v>
      </c>
      <c r="C1010" s="55" t="s">
        <v>246</v>
      </c>
      <c r="D1010" s="55" t="s">
        <v>605</v>
      </c>
      <c r="E1010" s="55" t="s">
        <v>608</v>
      </c>
      <c r="F1010" s="55" t="s">
        <v>209</v>
      </c>
      <c r="G1010" s="55" t="s">
        <v>482</v>
      </c>
      <c r="H1010" s="56">
        <v>18.21</v>
      </c>
    </row>
    <row r="1011" spans="1:8" ht="14">
      <c r="A1011" s="54" t="s">
        <v>589</v>
      </c>
      <c r="B1011" s="55" t="s">
        <v>452</v>
      </c>
      <c r="C1011" s="55" t="s">
        <v>246</v>
      </c>
      <c r="D1011" s="55" t="s">
        <v>605</v>
      </c>
      <c r="E1011" s="55" t="s">
        <v>608</v>
      </c>
      <c r="F1011" s="55" t="s">
        <v>209</v>
      </c>
      <c r="G1011" s="55" t="s">
        <v>483</v>
      </c>
      <c r="H1011" s="56">
        <v>17.23</v>
      </c>
    </row>
    <row r="1012" spans="1:8" ht="14">
      <c r="A1012" s="54" t="s">
        <v>589</v>
      </c>
      <c r="B1012" s="55" t="s">
        <v>452</v>
      </c>
      <c r="C1012" s="55" t="s">
        <v>246</v>
      </c>
      <c r="D1012" s="55" t="s">
        <v>605</v>
      </c>
      <c r="E1012" s="55" t="s">
        <v>608</v>
      </c>
      <c r="F1012" s="55" t="s">
        <v>209</v>
      </c>
      <c r="G1012" s="55" t="s">
        <v>220</v>
      </c>
      <c r="H1012" s="56">
        <v>20.48</v>
      </c>
    </row>
    <row r="1013" spans="1:8" ht="14">
      <c r="A1013" s="54" t="s">
        <v>589</v>
      </c>
      <c r="B1013" s="55" t="s">
        <v>452</v>
      </c>
      <c r="C1013" s="55" t="s">
        <v>246</v>
      </c>
      <c r="D1013" s="55" t="s">
        <v>605</v>
      </c>
      <c r="E1013" s="55" t="s">
        <v>609</v>
      </c>
      <c r="F1013" s="55" t="s">
        <v>209</v>
      </c>
      <c r="G1013" s="55" t="s">
        <v>362</v>
      </c>
      <c r="H1013" s="56">
        <v>18.21</v>
      </c>
    </row>
    <row r="1014" spans="1:8" ht="14">
      <c r="A1014" s="54" t="s">
        <v>589</v>
      </c>
      <c r="B1014" s="55" t="s">
        <v>452</v>
      </c>
      <c r="C1014" s="55" t="s">
        <v>246</v>
      </c>
      <c r="D1014" s="55" t="s">
        <v>605</v>
      </c>
      <c r="E1014" s="55" t="s">
        <v>610</v>
      </c>
      <c r="F1014" s="55" t="s">
        <v>209</v>
      </c>
      <c r="G1014" s="55" t="s">
        <v>362</v>
      </c>
      <c r="H1014" s="56">
        <v>10.73</v>
      </c>
    </row>
    <row r="1015" spans="1:8" ht="14">
      <c r="A1015" s="54" t="s">
        <v>589</v>
      </c>
      <c r="B1015" s="55" t="s">
        <v>452</v>
      </c>
      <c r="C1015" s="55" t="s">
        <v>246</v>
      </c>
      <c r="D1015" s="55" t="s">
        <v>605</v>
      </c>
      <c r="E1015" s="55" t="s">
        <v>611</v>
      </c>
      <c r="F1015" s="55" t="s">
        <v>209</v>
      </c>
      <c r="G1015" s="55" t="s">
        <v>362</v>
      </c>
      <c r="H1015" s="56">
        <v>19.18</v>
      </c>
    </row>
    <row r="1016" spans="1:8" ht="14">
      <c r="A1016" s="54" t="s">
        <v>589</v>
      </c>
      <c r="B1016" s="55" t="s">
        <v>452</v>
      </c>
      <c r="C1016" s="55" t="s">
        <v>246</v>
      </c>
      <c r="D1016" s="55" t="s">
        <v>605</v>
      </c>
      <c r="E1016" s="55" t="s">
        <v>612</v>
      </c>
      <c r="F1016" s="55" t="s">
        <v>209</v>
      </c>
      <c r="G1016" s="55" t="s">
        <v>362</v>
      </c>
      <c r="H1016" s="56">
        <v>16.579999999999998</v>
      </c>
    </row>
    <row r="1017" spans="1:8" ht="14">
      <c r="A1017" s="54" t="s">
        <v>589</v>
      </c>
      <c r="B1017" s="55" t="s">
        <v>452</v>
      </c>
      <c r="C1017" s="55" t="s">
        <v>246</v>
      </c>
      <c r="D1017" s="55" t="s">
        <v>605</v>
      </c>
      <c r="E1017" s="55" t="s">
        <v>613</v>
      </c>
      <c r="F1017" s="55" t="s">
        <v>209</v>
      </c>
      <c r="G1017" s="55" t="s">
        <v>362</v>
      </c>
      <c r="H1017" s="56">
        <v>12.68</v>
      </c>
    </row>
    <row r="1018" spans="1:8" ht="14">
      <c r="A1018" s="54" t="s">
        <v>589</v>
      </c>
      <c r="B1018" s="55" t="s">
        <v>452</v>
      </c>
      <c r="C1018" s="55" t="s">
        <v>246</v>
      </c>
      <c r="D1018" s="55" t="s">
        <v>605</v>
      </c>
      <c r="E1018" s="55" t="s">
        <v>614</v>
      </c>
      <c r="F1018" s="55" t="s">
        <v>209</v>
      </c>
      <c r="G1018" s="55" t="s">
        <v>362</v>
      </c>
      <c r="H1018" s="56">
        <v>15.28</v>
      </c>
    </row>
    <row r="1019" spans="1:8" ht="14">
      <c r="A1019" s="54" t="s">
        <v>589</v>
      </c>
      <c r="B1019" s="55" t="s">
        <v>452</v>
      </c>
      <c r="C1019" s="55" t="s">
        <v>246</v>
      </c>
      <c r="D1019" s="55" t="s">
        <v>605</v>
      </c>
      <c r="E1019" s="55" t="s">
        <v>615</v>
      </c>
      <c r="F1019" s="55" t="s">
        <v>209</v>
      </c>
      <c r="G1019" s="55" t="s">
        <v>362</v>
      </c>
      <c r="H1019" s="56">
        <v>22.43</v>
      </c>
    </row>
    <row r="1020" spans="1:8" ht="14">
      <c r="A1020" s="54" t="s">
        <v>589</v>
      </c>
      <c r="B1020" s="55" t="s">
        <v>452</v>
      </c>
      <c r="C1020" s="55" t="s">
        <v>246</v>
      </c>
      <c r="D1020" s="55" t="s">
        <v>605</v>
      </c>
      <c r="E1020" s="55" t="s">
        <v>616</v>
      </c>
      <c r="F1020" s="55" t="s">
        <v>209</v>
      </c>
      <c r="G1020" s="55" t="s">
        <v>362</v>
      </c>
      <c r="H1020" s="56">
        <v>19.18</v>
      </c>
    </row>
    <row r="1021" spans="1:8" ht="14">
      <c r="A1021" s="54" t="s">
        <v>589</v>
      </c>
      <c r="B1021" s="55" t="s">
        <v>452</v>
      </c>
      <c r="C1021" s="55" t="s">
        <v>246</v>
      </c>
      <c r="D1021" s="55" t="s">
        <v>605</v>
      </c>
      <c r="E1021" s="55" t="s">
        <v>617</v>
      </c>
      <c r="F1021" s="55" t="s">
        <v>209</v>
      </c>
      <c r="G1021" s="55" t="s">
        <v>362</v>
      </c>
      <c r="H1021" s="56">
        <v>21.78</v>
      </c>
    </row>
    <row r="1022" spans="1:8" ht="14">
      <c r="A1022" s="54" t="s">
        <v>589</v>
      </c>
      <c r="B1022" s="55" t="s">
        <v>452</v>
      </c>
      <c r="C1022" s="55" t="s">
        <v>246</v>
      </c>
      <c r="D1022" s="55" t="s">
        <v>605</v>
      </c>
      <c r="E1022" s="55" t="s">
        <v>618</v>
      </c>
      <c r="F1022" s="55" t="s">
        <v>209</v>
      </c>
      <c r="G1022" s="55" t="s">
        <v>362</v>
      </c>
      <c r="H1022" s="56">
        <v>19.18</v>
      </c>
    </row>
    <row r="1023" spans="1:8" ht="14">
      <c r="A1023" s="54" t="s">
        <v>589</v>
      </c>
      <c r="B1023" s="55" t="s">
        <v>452</v>
      </c>
      <c r="C1023" s="55" t="s">
        <v>246</v>
      </c>
      <c r="D1023" s="55" t="s">
        <v>605</v>
      </c>
      <c r="E1023" s="55" t="s">
        <v>619</v>
      </c>
      <c r="F1023" s="55" t="s">
        <v>209</v>
      </c>
      <c r="G1023" s="55" t="s">
        <v>362</v>
      </c>
      <c r="H1023" s="56">
        <v>11.38</v>
      </c>
    </row>
    <row r="1024" spans="1:8" ht="14">
      <c r="A1024" s="54" t="s">
        <v>589</v>
      </c>
      <c r="B1024" s="55" t="s">
        <v>452</v>
      </c>
      <c r="C1024" s="55" t="s">
        <v>246</v>
      </c>
      <c r="D1024" s="55" t="s">
        <v>605</v>
      </c>
      <c r="E1024" s="55" t="s">
        <v>620</v>
      </c>
      <c r="F1024" s="55" t="s">
        <v>209</v>
      </c>
      <c r="G1024" s="55" t="s">
        <v>362</v>
      </c>
      <c r="H1024" s="56">
        <v>15.93</v>
      </c>
    </row>
    <row r="1025" spans="1:8" ht="14">
      <c r="A1025" s="54" t="s">
        <v>589</v>
      </c>
      <c r="B1025" s="55" t="s">
        <v>452</v>
      </c>
      <c r="C1025" s="55" t="s">
        <v>246</v>
      </c>
      <c r="D1025" s="55" t="s">
        <v>605</v>
      </c>
      <c r="E1025" s="55" t="s">
        <v>621</v>
      </c>
      <c r="F1025" s="55" t="s">
        <v>209</v>
      </c>
      <c r="G1025" s="55" t="s">
        <v>362</v>
      </c>
      <c r="H1025" s="56">
        <v>15.93</v>
      </c>
    </row>
    <row r="1026" spans="1:8" ht="14">
      <c r="A1026" s="54" t="s">
        <v>589</v>
      </c>
      <c r="B1026" s="55" t="s">
        <v>452</v>
      </c>
      <c r="C1026" s="55" t="s">
        <v>246</v>
      </c>
      <c r="D1026" s="55" t="s">
        <v>605</v>
      </c>
      <c r="E1026" s="55" t="s">
        <v>622</v>
      </c>
      <c r="F1026" s="55" t="s">
        <v>209</v>
      </c>
      <c r="G1026" s="55" t="s">
        <v>362</v>
      </c>
      <c r="H1026" s="56">
        <v>15.28</v>
      </c>
    </row>
    <row r="1027" spans="1:8" ht="14">
      <c r="A1027" s="54" t="s">
        <v>589</v>
      </c>
      <c r="B1027" s="55" t="s">
        <v>452</v>
      </c>
      <c r="C1027" s="55" t="s">
        <v>246</v>
      </c>
      <c r="D1027" s="55" t="s">
        <v>605</v>
      </c>
      <c r="E1027" s="55" t="s">
        <v>623</v>
      </c>
      <c r="F1027" s="55" t="s">
        <v>209</v>
      </c>
      <c r="G1027" s="55" t="s">
        <v>362</v>
      </c>
      <c r="H1027" s="56">
        <v>15.93</v>
      </c>
    </row>
    <row r="1028" spans="1:8" ht="14">
      <c r="A1028" s="54" t="s">
        <v>589</v>
      </c>
      <c r="B1028" s="55" t="s">
        <v>452</v>
      </c>
      <c r="C1028" s="55" t="s">
        <v>246</v>
      </c>
      <c r="D1028" s="55" t="s">
        <v>605</v>
      </c>
      <c r="E1028" s="55" t="s">
        <v>624</v>
      </c>
      <c r="F1028" s="55" t="s">
        <v>209</v>
      </c>
      <c r="G1028" s="55" t="s">
        <v>362</v>
      </c>
      <c r="H1028" s="56">
        <v>17.23</v>
      </c>
    </row>
    <row r="1029" spans="1:8" ht="14">
      <c r="A1029" s="54" t="s">
        <v>589</v>
      </c>
      <c r="B1029" s="55" t="s">
        <v>452</v>
      </c>
      <c r="C1029" s="55" t="s">
        <v>246</v>
      </c>
      <c r="D1029" s="55" t="s">
        <v>605</v>
      </c>
      <c r="E1029" s="55" t="s">
        <v>625</v>
      </c>
      <c r="F1029" s="55" t="s">
        <v>209</v>
      </c>
      <c r="G1029" s="55" t="s">
        <v>362</v>
      </c>
      <c r="H1029" s="56">
        <v>23.73</v>
      </c>
    </row>
    <row r="1030" spans="1:8" ht="14">
      <c r="A1030" s="54" t="s">
        <v>589</v>
      </c>
      <c r="B1030" s="55" t="s">
        <v>452</v>
      </c>
      <c r="C1030" s="55" t="s">
        <v>246</v>
      </c>
      <c r="D1030" s="55" t="s">
        <v>626</v>
      </c>
      <c r="E1030" s="55" t="s">
        <v>627</v>
      </c>
      <c r="F1030" s="55" t="s">
        <v>209</v>
      </c>
      <c r="G1030" s="55" t="s">
        <v>362</v>
      </c>
      <c r="H1030" s="56">
        <v>15.28</v>
      </c>
    </row>
    <row r="1031" spans="1:8" ht="14">
      <c r="A1031" s="54" t="s">
        <v>589</v>
      </c>
      <c r="B1031" s="55" t="s">
        <v>452</v>
      </c>
      <c r="C1031" s="55" t="s">
        <v>246</v>
      </c>
      <c r="D1031" s="55" t="s">
        <v>626</v>
      </c>
      <c r="E1031" s="55" t="s">
        <v>627</v>
      </c>
      <c r="F1031" s="55" t="s">
        <v>209</v>
      </c>
      <c r="G1031" s="55" t="s">
        <v>482</v>
      </c>
      <c r="H1031" s="56">
        <v>17.88</v>
      </c>
    </row>
    <row r="1032" spans="1:8" ht="14">
      <c r="A1032" s="54" t="s">
        <v>589</v>
      </c>
      <c r="B1032" s="55" t="s">
        <v>452</v>
      </c>
      <c r="C1032" s="55" t="s">
        <v>246</v>
      </c>
      <c r="D1032" s="55" t="s">
        <v>626</v>
      </c>
      <c r="E1032" s="55" t="s">
        <v>627</v>
      </c>
      <c r="F1032" s="55" t="s">
        <v>209</v>
      </c>
      <c r="G1032" s="55" t="s">
        <v>483</v>
      </c>
      <c r="H1032" s="56">
        <v>16.579999999999998</v>
      </c>
    </row>
    <row r="1033" spans="1:8" ht="14">
      <c r="A1033" s="54" t="s">
        <v>589</v>
      </c>
      <c r="B1033" s="55" t="s">
        <v>452</v>
      </c>
      <c r="C1033" s="55" t="s">
        <v>246</v>
      </c>
      <c r="D1033" s="55" t="s">
        <v>626</v>
      </c>
      <c r="E1033" s="55" t="s">
        <v>628</v>
      </c>
      <c r="F1033" s="55" t="s">
        <v>209</v>
      </c>
      <c r="G1033" s="55" t="s">
        <v>362</v>
      </c>
      <c r="H1033" s="56">
        <v>15.28</v>
      </c>
    </row>
    <row r="1034" spans="1:8" ht="14">
      <c r="A1034" s="54" t="s">
        <v>589</v>
      </c>
      <c r="B1034" s="55" t="s">
        <v>452</v>
      </c>
      <c r="C1034" s="55" t="s">
        <v>246</v>
      </c>
      <c r="D1034" s="55" t="s">
        <v>626</v>
      </c>
      <c r="E1034" s="55" t="s">
        <v>628</v>
      </c>
      <c r="F1034" s="55" t="s">
        <v>209</v>
      </c>
      <c r="G1034" s="55" t="s">
        <v>483</v>
      </c>
      <c r="H1034" s="56">
        <v>16.579999999999998</v>
      </c>
    </row>
    <row r="1035" spans="1:8" ht="14">
      <c r="A1035" s="54" t="s">
        <v>589</v>
      </c>
      <c r="B1035" s="55" t="s">
        <v>452</v>
      </c>
      <c r="C1035" s="55" t="s">
        <v>246</v>
      </c>
      <c r="D1035" s="55" t="s">
        <v>626</v>
      </c>
      <c r="E1035" s="55" t="s">
        <v>629</v>
      </c>
      <c r="F1035" s="55" t="s">
        <v>209</v>
      </c>
      <c r="G1035" s="55" t="s">
        <v>362</v>
      </c>
      <c r="H1035" s="56">
        <v>16.579999999999998</v>
      </c>
    </row>
    <row r="1036" spans="1:8" ht="14">
      <c r="A1036" s="54" t="s">
        <v>589</v>
      </c>
      <c r="B1036" s="55" t="s">
        <v>452</v>
      </c>
      <c r="C1036" s="55" t="s">
        <v>246</v>
      </c>
      <c r="D1036" s="55" t="s">
        <v>626</v>
      </c>
      <c r="E1036" s="55" t="s">
        <v>629</v>
      </c>
      <c r="F1036" s="55" t="s">
        <v>209</v>
      </c>
      <c r="G1036" s="55" t="s">
        <v>482</v>
      </c>
      <c r="H1036" s="56">
        <v>19.18</v>
      </c>
    </row>
    <row r="1037" spans="1:8" ht="14">
      <c r="A1037" s="54" t="s">
        <v>589</v>
      </c>
      <c r="B1037" s="55" t="s">
        <v>452</v>
      </c>
      <c r="C1037" s="55" t="s">
        <v>246</v>
      </c>
      <c r="D1037" s="55" t="s">
        <v>626</v>
      </c>
      <c r="E1037" s="55" t="s">
        <v>629</v>
      </c>
      <c r="F1037" s="55" t="s">
        <v>209</v>
      </c>
      <c r="G1037" s="55" t="s">
        <v>483</v>
      </c>
      <c r="H1037" s="56">
        <v>17.88</v>
      </c>
    </row>
    <row r="1038" spans="1:8" ht="14">
      <c r="A1038" s="54" t="s">
        <v>589</v>
      </c>
      <c r="B1038" s="55" t="s">
        <v>452</v>
      </c>
      <c r="C1038" s="55" t="s">
        <v>246</v>
      </c>
      <c r="D1038" s="55" t="s">
        <v>626</v>
      </c>
      <c r="E1038" s="55" t="s">
        <v>630</v>
      </c>
      <c r="F1038" s="55" t="s">
        <v>209</v>
      </c>
      <c r="G1038" s="55" t="s">
        <v>362</v>
      </c>
      <c r="H1038" s="56">
        <v>15.28</v>
      </c>
    </row>
    <row r="1039" spans="1:8" ht="14">
      <c r="A1039" s="54" t="s">
        <v>589</v>
      </c>
      <c r="B1039" s="55" t="s">
        <v>452</v>
      </c>
      <c r="C1039" s="55" t="s">
        <v>246</v>
      </c>
      <c r="D1039" s="55" t="s">
        <v>626</v>
      </c>
      <c r="E1039" s="55" t="s">
        <v>630</v>
      </c>
      <c r="F1039" s="55" t="s">
        <v>209</v>
      </c>
      <c r="G1039" s="55" t="s">
        <v>483</v>
      </c>
      <c r="H1039" s="56">
        <v>16.579999999999998</v>
      </c>
    </row>
    <row r="1040" spans="1:8" ht="14">
      <c r="A1040" s="54" t="s">
        <v>589</v>
      </c>
      <c r="B1040" s="55" t="s">
        <v>452</v>
      </c>
      <c r="C1040" s="55" t="s">
        <v>246</v>
      </c>
      <c r="D1040" s="55" t="s">
        <v>626</v>
      </c>
      <c r="E1040" s="55" t="s">
        <v>631</v>
      </c>
      <c r="F1040" s="55" t="s">
        <v>209</v>
      </c>
      <c r="G1040" s="55" t="s">
        <v>362</v>
      </c>
      <c r="H1040" s="56">
        <v>16.579999999999998</v>
      </c>
    </row>
    <row r="1041" spans="1:8" ht="14">
      <c r="A1041" s="54" t="s">
        <v>589</v>
      </c>
      <c r="B1041" s="55" t="s">
        <v>452</v>
      </c>
      <c r="C1041" s="55" t="s">
        <v>246</v>
      </c>
      <c r="D1041" s="55" t="s">
        <v>626</v>
      </c>
      <c r="E1041" s="55" t="s">
        <v>631</v>
      </c>
      <c r="F1041" s="55" t="s">
        <v>209</v>
      </c>
      <c r="G1041" s="55" t="s">
        <v>483</v>
      </c>
      <c r="H1041" s="56">
        <v>17.88</v>
      </c>
    </row>
    <row r="1042" spans="1:8" ht="14">
      <c r="A1042" s="54" t="s">
        <v>589</v>
      </c>
      <c r="B1042" s="55" t="s">
        <v>452</v>
      </c>
      <c r="C1042" s="55" t="s">
        <v>246</v>
      </c>
      <c r="D1042" s="55" t="s">
        <v>626</v>
      </c>
      <c r="E1042" s="55" t="s">
        <v>632</v>
      </c>
      <c r="F1042" s="55" t="s">
        <v>209</v>
      </c>
      <c r="G1042" s="55" t="s">
        <v>362</v>
      </c>
      <c r="H1042" s="56">
        <v>16.579999999999998</v>
      </c>
    </row>
    <row r="1043" spans="1:8" ht="14">
      <c r="A1043" s="54" t="s">
        <v>589</v>
      </c>
      <c r="B1043" s="55" t="s">
        <v>452</v>
      </c>
      <c r="C1043" s="55" t="s">
        <v>246</v>
      </c>
      <c r="D1043" s="55" t="s">
        <v>626</v>
      </c>
      <c r="E1043" s="55" t="s">
        <v>632</v>
      </c>
      <c r="F1043" s="55" t="s">
        <v>209</v>
      </c>
      <c r="G1043" s="55" t="s">
        <v>483</v>
      </c>
      <c r="H1043" s="56">
        <v>17.88</v>
      </c>
    </row>
    <row r="1044" spans="1:8" ht="14">
      <c r="A1044" s="54" t="s">
        <v>589</v>
      </c>
      <c r="B1044" s="55" t="s">
        <v>452</v>
      </c>
      <c r="C1044" s="55" t="s">
        <v>246</v>
      </c>
      <c r="D1044" s="55" t="s">
        <v>626</v>
      </c>
      <c r="E1044" s="55" t="s">
        <v>633</v>
      </c>
      <c r="F1044" s="55" t="s">
        <v>209</v>
      </c>
      <c r="G1044" s="55" t="s">
        <v>362</v>
      </c>
      <c r="H1044" s="56">
        <v>16.579999999999998</v>
      </c>
    </row>
    <row r="1045" spans="1:8" ht="14">
      <c r="A1045" s="54" t="s">
        <v>589</v>
      </c>
      <c r="B1045" s="55" t="s">
        <v>452</v>
      </c>
      <c r="C1045" s="55" t="s">
        <v>246</v>
      </c>
      <c r="D1045" s="55" t="s">
        <v>626</v>
      </c>
      <c r="E1045" s="55" t="s">
        <v>633</v>
      </c>
      <c r="F1045" s="55" t="s">
        <v>209</v>
      </c>
      <c r="G1045" s="55" t="s">
        <v>483</v>
      </c>
      <c r="H1045" s="56">
        <v>17.88</v>
      </c>
    </row>
    <row r="1046" spans="1:8" ht="14">
      <c r="A1046" s="54" t="s">
        <v>589</v>
      </c>
      <c r="B1046" s="55" t="s">
        <v>452</v>
      </c>
      <c r="C1046" s="55" t="s">
        <v>246</v>
      </c>
      <c r="D1046" s="55" t="s">
        <v>626</v>
      </c>
      <c r="E1046" s="55" t="s">
        <v>634</v>
      </c>
      <c r="F1046" s="55" t="s">
        <v>209</v>
      </c>
      <c r="G1046" s="55" t="s">
        <v>362</v>
      </c>
      <c r="H1046" s="56">
        <v>16.579999999999998</v>
      </c>
    </row>
    <row r="1047" spans="1:8" ht="14">
      <c r="A1047" s="54" t="s">
        <v>589</v>
      </c>
      <c r="B1047" s="55" t="s">
        <v>452</v>
      </c>
      <c r="C1047" s="55" t="s">
        <v>246</v>
      </c>
      <c r="D1047" s="55" t="s">
        <v>626</v>
      </c>
      <c r="E1047" s="55" t="s">
        <v>634</v>
      </c>
      <c r="F1047" s="55" t="s">
        <v>209</v>
      </c>
      <c r="G1047" s="55" t="s">
        <v>482</v>
      </c>
      <c r="H1047" s="56">
        <v>19.18</v>
      </c>
    </row>
    <row r="1048" spans="1:8" ht="14">
      <c r="A1048" s="54" t="s">
        <v>589</v>
      </c>
      <c r="B1048" s="55" t="s">
        <v>452</v>
      </c>
      <c r="C1048" s="55" t="s">
        <v>246</v>
      </c>
      <c r="D1048" s="55" t="s">
        <v>626</v>
      </c>
      <c r="E1048" s="55" t="s">
        <v>634</v>
      </c>
      <c r="F1048" s="55" t="s">
        <v>209</v>
      </c>
      <c r="G1048" s="55" t="s">
        <v>483</v>
      </c>
      <c r="H1048" s="56">
        <v>17.88</v>
      </c>
    </row>
    <row r="1049" spans="1:8" ht="14">
      <c r="A1049" s="54" t="s">
        <v>589</v>
      </c>
      <c r="B1049" s="55" t="s">
        <v>452</v>
      </c>
      <c r="C1049" s="55" t="s">
        <v>246</v>
      </c>
      <c r="D1049" s="55" t="s">
        <v>626</v>
      </c>
      <c r="E1049" s="55" t="s">
        <v>634</v>
      </c>
      <c r="F1049" s="55" t="s">
        <v>209</v>
      </c>
      <c r="G1049" s="55" t="s">
        <v>220</v>
      </c>
      <c r="H1049" s="56">
        <v>19.18</v>
      </c>
    </row>
    <row r="1050" spans="1:8" ht="14">
      <c r="A1050" s="54" t="s">
        <v>589</v>
      </c>
      <c r="B1050" s="55" t="s">
        <v>452</v>
      </c>
      <c r="C1050" s="55" t="s">
        <v>246</v>
      </c>
      <c r="D1050" s="55" t="s">
        <v>626</v>
      </c>
      <c r="E1050" s="55" t="s">
        <v>635</v>
      </c>
      <c r="F1050" s="55" t="s">
        <v>209</v>
      </c>
      <c r="G1050" s="55" t="s">
        <v>362</v>
      </c>
      <c r="H1050" s="56">
        <v>16.579999999999998</v>
      </c>
    </row>
    <row r="1051" spans="1:8" ht="14">
      <c r="A1051" s="54" t="s">
        <v>589</v>
      </c>
      <c r="B1051" s="55" t="s">
        <v>452</v>
      </c>
      <c r="C1051" s="55" t="s">
        <v>246</v>
      </c>
      <c r="D1051" s="55" t="s">
        <v>626</v>
      </c>
      <c r="E1051" s="55" t="s">
        <v>635</v>
      </c>
      <c r="F1051" s="55" t="s">
        <v>209</v>
      </c>
      <c r="G1051" s="55" t="s">
        <v>483</v>
      </c>
      <c r="H1051" s="56">
        <v>17.88</v>
      </c>
    </row>
    <row r="1052" spans="1:8" ht="14">
      <c r="A1052" s="54" t="s">
        <v>589</v>
      </c>
      <c r="B1052" s="55" t="s">
        <v>452</v>
      </c>
      <c r="C1052" s="55" t="s">
        <v>246</v>
      </c>
      <c r="D1052" s="55" t="s">
        <v>480</v>
      </c>
      <c r="E1052" s="55" t="s">
        <v>636</v>
      </c>
      <c r="F1052" s="55" t="s">
        <v>209</v>
      </c>
      <c r="G1052" s="55" t="s">
        <v>362</v>
      </c>
      <c r="H1052" s="56">
        <v>10.73</v>
      </c>
    </row>
    <row r="1053" spans="1:8" ht="14">
      <c r="A1053" s="54" t="s">
        <v>589</v>
      </c>
      <c r="B1053" s="55" t="s">
        <v>452</v>
      </c>
      <c r="C1053" s="55" t="s">
        <v>246</v>
      </c>
      <c r="D1053" s="55" t="s">
        <v>480</v>
      </c>
      <c r="E1053" s="55" t="s">
        <v>637</v>
      </c>
      <c r="F1053" s="55" t="s">
        <v>209</v>
      </c>
      <c r="G1053" s="55" t="s">
        <v>362</v>
      </c>
      <c r="H1053" s="56">
        <v>17.88</v>
      </c>
    </row>
    <row r="1054" spans="1:8" ht="14">
      <c r="A1054" s="54" t="s">
        <v>589</v>
      </c>
      <c r="B1054" s="55" t="s">
        <v>452</v>
      </c>
      <c r="C1054" s="55" t="s">
        <v>246</v>
      </c>
      <c r="D1054" s="55" t="s">
        <v>480</v>
      </c>
      <c r="E1054" s="55" t="s">
        <v>637</v>
      </c>
      <c r="F1054" s="55" t="s">
        <v>209</v>
      </c>
      <c r="G1054" s="55" t="s">
        <v>483</v>
      </c>
      <c r="H1054" s="56">
        <v>19.18</v>
      </c>
    </row>
    <row r="1055" spans="1:8" ht="14">
      <c r="A1055" s="54" t="s">
        <v>589</v>
      </c>
      <c r="B1055" s="55" t="s">
        <v>452</v>
      </c>
      <c r="C1055" s="55" t="s">
        <v>246</v>
      </c>
      <c r="D1055" s="55" t="s">
        <v>480</v>
      </c>
      <c r="E1055" s="55" t="s">
        <v>638</v>
      </c>
      <c r="F1055" s="55" t="s">
        <v>209</v>
      </c>
      <c r="G1055" s="55" t="s">
        <v>362</v>
      </c>
      <c r="H1055" s="56">
        <v>16.579999999999998</v>
      </c>
    </row>
    <row r="1056" spans="1:8" ht="14">
      <c r="A1056" s="54" t="s">
        <v>589</v>
      </c>
      <c r="B1056" s="55" t="s">
        <v>452</v>
      </c>
      <c r="C1056" s="55" t="s">
        <v>246</v>
      </c>
      <c r="D1056" s="55" t="s">
        <v>480</v>
      </c>
      <c r="E1056" s="55" t="s">
        <v>639</v>
      </c>
      <c r="F1056" s="55" t="s">
        <v>209</v>
      </c>
      <c r="G1056" s="55" t="s">
        <v>362</v>
      </c>
      <c r="H1056" s="56">
        <v>17.88</v>
      </c>
    </row>
    <row r="1057" spans="1:8" ht="14">
      <c r="A1057" s="54" t="s">
        <v>589</v>
      </c>
      <c r="B1057" s="55" t="s">
        <v>452</v>
      </c>
      <c r="C1057" s="55" t="s">
        <v>246</v>
      </c>
      <c r="D1057" s="55" t="s">
        <v>480</v>
      </c>
      <c r="E1057" s="55" t="s">
        <v>640</v>
      </c>
      <c r="F1057" s="55" t="s">
        <v>209</v>
      </c>
      <c r="G1057" s="55" t="s">
        <v>362</v>
      </c>
      <c r="H1057" s="56">
        <v>32.19</v>
      </c>
    </row>
    <row r="1058" spans="1:8" ht="14">
      <c r="A1058" s="54" t="s">
        <v>589</v>
      </c>
      <c r="B1058" s="55" t="s">
        <v>452</v>
      </c>
      <c r="C1058" s="55" t="s">
        <v>246</v>
      </c>
      <c r="D1058" s="55" t="s">
        <v>480</v>
      </c>
      <c r="E1058" s="55" t="s">
        <v>640</v>
      </c>
      <c r="F1058" s="55" t="s">
        <v>209</v>
      </c>
      <c r="G1058" s="55" t="s">
        <v>482</v>
      </c>
      <c r="H1058" s="56">
        <v>34.79</v>
      </c>
    </row>
    <row r="1059" spans="1:8" ht="14">
      <c r="A1059" s="54" t="s">
        <v>589</v>
      </c>
      <c r="B1059" s="55" t="s">
        <v>452</v>
      </c>
      <c r="C1059" s="55" t="s">
        <v>246</v>
      </c>
      <c r="D1059" s="55" t="s">
        <v>480</v>
      </c>
      <c r="E1059" s="55" t="s">
        <v>640</v>
      </c>
      <c r="F1059" s="55" t="s">
        <v>209</v>
      </c>
      <c r="G1059" s="55" t="s">
        <v>483</v>
      </c>
      <c r="H1059" s="56">
        <v>39.99</v>
      </c>
    </row>
    <row r="1060" spans="1:8" ht="14">
      <c r="A1060" s="54" t="s">
        <v>589</v>
      </c>
      <c r="B1060" s="55" t="s">
        <v>452</v>
      </c>
      <c r="C1060" s="55" t="s">
        <v>246</v>
      </c>
      <c r="D1060" s="55" t="s">
        <v>480</v>
      </c>
      <c r="E1060" s="55" t="s">
        <v>640</v>
      </c>
      <c r="F1060" s="55" t="s">
        <v>209</v>
      </c>
      <c r="G1060" s="55" t="s">
        <v>334</v>
      </c>
      <c r="H1060" s="56">
        <v>36.090000000000003</v>
      </c>
    </row>
    <row r="1061" spans="1:8" ht="14">
      <c r="A1061" s="54" t="s">
        <v>589</v>
      </c>
      <c r="B1061" s="55" t="s">
        <v>452</v>
      </c>
      <c r="C1061" s="55" t="s">
        <v>246</v>
      </c>
      <c r="D1061" s="55" t="s">
        <v>480</v>
      </c>
      <c r="E1061" s="55" t="s">
        <v>640</v>
      </c>
      <c r="F1061" s="55" t="s">
        <v>209</v>
      </c>
      <c r="G1061" s="55" t="s">
        <v>458</v>
      </c>
      <c r="H1061" s="56">
        <v>36.090000000000003</v>
      </c>
    </row>
    <row r="1062" spans="1:8" ht="14">
      <c r="A1062" s="54" t="s">
        <v>589</v>
      </c>
      <c r="B1062" s="55" t="s">
        <v>452</v>
      </c>
      <c r="C1062" s="55" t="s">
        <v>246</v>
      </c>
      <c r="D1062" s="55" t="s">
        <v>480</v>
      </c>
      <c r="E1062" s="55" t="s">
        <v>641</v>
      </c>
      <c r="F1062" s="55" t="s">
        <v>209</v>
      </c>
      <c r="G1062" s="55" t="s">
        <v>362</v>
      </c>
      <c r="H1062" s="56">
        <v>12.68</v>
      </c>
    </row>
    <row r="1063" spans="1:8" ht="14">
      <c r="A1063" s="54" t="s">
        <v>589</v>
      </c>
      <c r="B1063" s="55" t="s">
        <v>452</v>
      </c>
      <c r="C1063" s="55" t="s">
        <v>246</v>
      </c>
      <c r="D1063" s="55" t="s">
        <v>480</v>
      </c>
      <c r="E1063" s="55" t="s">
        <v>642</v>
      </c>
      <c r="F1063" s="55" t="s">
        <v>209</v>
      </c>
      <c r="G1063" s="55" t="s">
        <v>362</v>
      </c>
      <c r="H1063" s="56">
        <v>19.18</v>
      </c>
    </row>
    <row r="1064" spans="1:8" ht="14">
      <c r="A1064" s="54" t="s">
        <v>589</v>
      </c>
      <c r="B1064" s="55" t="s">
        <v>452</v>
      </c>
      <c r="C1064" s="55" t="s">
        <v>246</v>
      </c>
      <c r="D1064" s="55" t="s">
        <v>480</v>
      </c>
      <c r="E1064" s="55" t="s">
        <v>642</v>
      </c>
      <c r="F1064" s="55" t="s">
        <v>209</v>
      </c>
      <c r="G1064" s="55" t="s">
        <v>482</v>
      </c>
      <c r="H1064" s="56">
        <v>22.43</v>
      </c>
    </row>
    <row r="1065" spans="1:8" ht="14">
      <c r="A1065" s="54" t="s">
        <v>589</v>
      </c>
      <c r="B1065" s="55" t="s">
        <v>452</v>
      </c>
      <c r="C1065" s="55" t="s">
        <v>246</v>
      </c>
      <c r="D1065" s="55" t="s">
        <v>480</v>
      </c>
      <c r="E1065" s="55" t="s">
        <v>642</v>
      </c>
      <c r="F1065" s="55" t="s">
        <v>209</v>
      </c>
      <c r="G1065" s="55" t="s">
        <v>483</v>
      </c>
      <c r="H1065" s="56">
        <v>21.78</v>
      </c>
    </row>
    <row r="1066" spans="1:8" ht="14">
      <c r="A1066" s="54" t="s">
        <v>589</v>
      </c>
      <c r="B1066" s="55" t="s">
        <v>452</v>
      </c>
      <c r="C1066" s="55" t="s">
        <v>246</v>
      </c>
      <c r="D1066" s="55" t="s">
        <v>480</v>
      </c>
      <c r="E1066" s="55" t="s">
        <v>643</v>
      </c>
      <c r="F1066" s="55" t="s">
        <v>209</v>
      </c>
      <c r="G1066" s="55" t="s">
        <v>362</v>
      </c>
      <c r="H1066" s="56">
        <v>23.08</v>
      </c>
    </row>
    <row r="1067" spans="1:8" ht="14">
      <c r="A1067" s="54" t="s">
        <v>589</v>
      </c>
      <c r="B1067" s="55" t="s">
        <v>452</v>
      </c>
      <c r="C1067" s="55" t="s">
        <v>246</v>
      </c>
      <c r="D1067" s="55" t="s">
        <v>480</v>
      </c>
      <c r="E1067" s="55" t="s">
        <v>644</v>
      </c>
      <c r="F1067" s="55" t="s">
        <v>209</v>
      </c>
      <c r="G1067" s="55" t="s">
        <v>362</v>
      </c>
      <c r="H1067" s="56">
        <v>15.28</v>
      </c>
    </row>
    <row r="1068" spans="1:8" ht="14">
      <c r="A1068" s="54" t="s">
        <v>589</v>
      </c>
      <c r="B1068" s="55" t="s">
        <v>452</v>
      </c>
      <c r="C1068" s="55" t="s">
        <v>246</v>
      </c>
      <c r="D1068" s="55" t="s">
        <v>480</v>
      </c>
      <c r="E1068" s="55" t="s">
        <v>645</v>
      </c>
      <c r="F1068" s="55" t="s">
        <v>209</v>
      </c>
      <c r="G1068" s="55" t="s">
        <v>482</v>
      </c>
      <c r="H1068" s="56">
        <v>21.78</v>
      </c>
    </row>
    <row r="1069" spans="1:8" ht="14">
      <c r="A1069" s="54" t="s">
        <v>589</v>
      </c>
      <c r="B1069" s="55" t="s">
        <v>452</v>
      </c>
      <c r="C1069" s="55" t="s">
        <v>246</v>
      </c>
      <c r="D1069" s="55" t="s">
        <v>480</v>
      </c>
      <c r="E1069" s="55" t="s">
        <v>645</v>
      </c>
      <c r="F1069" s="55" t="s">
        <v>209</v>
      </c>
      <c r="G1069" s="55" t="s">
        <v>334</v>
      </c>
      <c r="H1069" s="56">
        <v>21.78</v>
      </c>
    </row>
    <row r="1070" spans="1:8" ht="14">
      <c r="A1070" s="54" t="s">
        <v>589</v>
      </c>
      <c r="B1070" s="55" t="s">
        <v>452</v>
      </c>
      <c r="C1070" s="55" t="s">
        <v>246</v>
      </c>
      <c r="D1070" s="55" t="s">
        <v>480</v>
      </c>
      <c r="E1070" s="55" t="s">
        <v>645</v>
      </c>
      <c r="F1070" s="55" t="s">
        <v>209</v>
      </c>
      <c r="G1070" s="55" t="s">
        <v>646</v>
      </c>
      <c r="H1070" s="56">
        <v>21.78</v>
      </c>
    </row>
    <row r="1071" spans="1:8" ht="14">
      <c r="A1071" s="54" t="s">
        <v>589</v>
      </c>
      <c r="B1071" s="55" t="s">
        <v>452</v>
      </c>
      <c r="C1071" s="55" t="s">
        <v>246</v>
      </c>
      <c r="D1071" s="55" t="s">
        <v>480</v>
      </c>
      <c r="E1071" s="55" t="s">
        <v>645</v>
      </c>
      <c r="F1071" s="55" t="s">
        <v>209</v>
      </c>
      <c r="G1071" s="55" t="s">
        <v>647</v>
      </c>
      <c r="H1071" s="56">
        <v>21.78</v>
      </c>
    </row>
    <row r="1072" spans="1:8" ht="14">
      <c r="A1072" s="54" t="s">
        <v>589</v>
      </c>
      <c r="B1072" s="55" t="s">
        <v>452</v>
      </c>
      <c r="C1072" s="55" t="s">
        <v>246</v>
      </c>
      <c r="D1072" s="55" t="s">
        <v>480</v>
      </c>
      <c r="E1072" s="55" t="s">
        <v>645</v>
      </c>
      <c r="F1072" s="55" t="s">
        <v>209</v>
      </c>
      <c r="G1072" s="55" t="s">
        <v>596</v>
      </c>
      <c r="H1072" s="56">
        <v>21.78</v>
      </c>
    </row>
    <row r="1073" spans="1:8" ht="14">
      <c r="A1073" s="54" t="s">
        <v>589</v>
      </c>
      <c r="B1073" s="55" t="s">
        <v>452</v>
      </c>
      <c r="C1073" s="55" t="s">
        <v>246</v>
      </c>
      <c r="D1073" s="55" t="s">
        <v>480</v>
      </c>
      <c r="E1073" s="55" t="s">
        <v>648</v>
      </c>
      <c r="F1073" s="55" t="s">
        <v>209</v>
      </c>
      <c r="G1073" s="55" t="s">
        <v>482</v>
      </c>
      <c r="H1073" s="56">
        <v>21.78</v>
      </c>
    </row>
    <row r="1074" spans="1:8" ht="14">
      <c r="A1074" s="54" t="s">
        <v>589</v>
      </c>
      <c r="B1074" s="55" t="s">
        <v>452</v>
      </c>
      <c r="C1074" s="55" t="s">
        <v>246</v>
      </c>
      <c r="D1074" s="55" t="s">
        <v>480</v>
      </c>
      <c r="E1074" s="55" t="s">
        <v>649</v>
      </c>
      <c r="F1074" s="55" t="s">
        <v>209</v>
      </c>
      <c r="G1074" s="55" t="s">
        <v>482</v>
      </c>
      <c r="H1074" s="56">
        <v>21.78</v>
      </c>
    </row>
    <row r="1075" spans="1:8" ht="14">
      <c r="A1075" s="54" t="s">
        <v>589</v>
      </c>
      <c r="B1075" s="55" t="s">
        <v>452</v>
      </c>
      <c r="C1075" s="55" t="s">
        <v>246</v>
      </c>
      <c r="D1075" s="55" t="s">
        <v>480</v>
      </c>
      <c r="E1075" s="55" t="s">
        <v>649</v>
      </c>
      <c r="F1075" s="55" t="s">
        <v>209</v>
      </c>
      <c r="G1075" s="55" t="s">
        <v>334</v>
      </c>
      <c r="H1075" s="56">
        <v>21.78</v>
      </c>
    </row>
    <row r="1076" spans="1:8" ht="14">
      <c r="A1076" s="54" t="s">
        <v>589</v>
      </c>
      <c r="B1076" s="55" t="s">
        <v>452</v>
      </c>
      <c r="C1076" s="55" t="s">
        <v>246</v>
      </c>
      <c r="D1076" s="55" t="s">
        <v>480</v>
      </c>
      <c r="E1076" s="55" t="s">
        <v>649</v>
      </c>
      <c r="F1076" s="55" t="s">
        <v>209</v>
      </c>
      <c r="G1076" s="55" t="s">
        <v>646</v>
      </c>
      <c r="H1076" s="56">
        <v>21.78</v>
      </c>
    </row>
    <row r="1077" spans="1:8" ht="14">
      <c r="A1077" s="54" t="s">
        <v>589</v>
      </c>
      <c r="B1077" s="55" t="s">
        <v>452</v>
      </c>
      <c r="C1077" s="55" t="s">
        <v>246</v>
      </c>
      <c r="D1077" s="55" t="s">
        <v>480</v>
      </c>
      <c r="E1077" s="55" t="s">
        <v>649</v>
      </c>
      <c r="F1077" s="55" t="s">
        <v>209</v>
      </c>
      <c r="G1077" s="55" t="s">
        <v>647</v>
      </c>
      <c r="H1077" s="56">
        <v>21.78</v>
      </c>
    </row>
    <row r="1078" spans="1:8" ht="14">
      <c r="A1078" s="54" t="s">
        <v>589</v>
      </c>
      <c r="B1078" s="55" t="s">
        <v>452</v>
      </c>
      <c r="C1078" s="55" t="s">
        <v>246</v>
      </c>
      <c r="D1078" s="55" t="s">
        <v>480</v>
      </c>
      <c r="E1078" s="55" t="s">
        <v>649</v>
      </c>
      <c r="F1078" s="55" t="s">
        <v>209</v>
      </c>
      <c r="G1078" s="55" t="s">
        <v>596</v>
      </c>
      <c r="H1078" s="56">
        <v>21.78</v>
      </c>
    </row>
    <row r="1079" spans="1:8" ht="14">
      <c r="A1079" s="54" t="s">
        <v>589</v>
      </c>
      <c r="B1079" s="55" t="s">
        <v>452</v>
      </c>
      <c r="C1079" s="55" t="s">
        <v>246</v>
      </c>
      <c r="D1079" s="55" t="s">
        <v>480</v>
      </c>
      <c r="E1079" s="55" t="s">
        <v>650</v>
      </c>
      <c r="F1079" s="55" t="s">
        <v>209</v>
      </c>
      <c r="G1079" s="55" t="s">
        <v>482</v>
      </c>
      <c r="H1079" s="56">
        <v>21.78</v>
      </c>
    </row>
    <row r="1080" spans="1:8" ht="14">
      <c r="A1080" s="54" t="s">
        <v>589</v>
      </c>
      <c r="B1080" s="55" t="s">
        <v>452</v>
      </c>
      <c r="C1080" s="55" t="s">
        <v>246</v>
      </c>
      <c r="D1080" s="55" t="s">
        <v>480</v>
      </c>
      <c r="E1080" s="55" t="s">
        <v>650</v>
      </c>
      <c r="F1080" s="55" t="s">
        <v>209</v>
      </c>
      <c r="G1080" s="55" t="s">
        <v>334</v>
      </c>
      <c r="H1080" s="56">
        <v>21.78</v>
      </c>
    </row>
    <row r="1081" spans="1:8" ht="14">
      <c r="A1081" s="54" t="s">
        <v>589</v>
      </c>
      <c r="B1081" s="55" t="s">
        <v>452</v>
      </c>
      <c r="C1081" s="55" t="s">
        <v>246</v>
      </c>
      <c r="D1081" s="55" t="s">
        <v>480</v>
      </c>
      <c r="E1081" s="55" t="s">
        <v>650</v>
      </c>
      <c r="F1081" s="55" t="s">
        <v>209</v>
      </c>
      <c r="G1081" s="55" t="s">
        <v>646</v>
      </c>
      <c r="H1081" s="56">
        <v>21.78</v>
      </c>
    </row>
    <row r="1082" spans="1:8" ht="14">
      <c r="A1082" s="54" t="s">
        <v>589</v>
      </c>
      <c r="B1082" s="55" t="s">
        <v>452</v>
      </c>
      <c r="C1082" s="55" t="s">
        <v>246</v>
      </c>
      <c r="D1082" s="55" t="s">
        <v>480</v>
      </c>
      <c r="E1082" s="55" t="s">
        <v>650</v>
      </c>
      <c r="F1082" s="55" t="s">
        <v>209</v>
      </c>
      <c r="G1082" s="55" t="s">
        <v>647</v>
      </c>
      <c r="H1082" s="56">
        <v>21.78</v>
      </c>
    </row>
    <row r="1083" spans="1:8" ht="14">
      <c r="A1083" s="54" t="s">
        <v>589</v>
      </c>
      <c r="B1083" s="55" t="s">
        <v>452</v>
      </c>
      <c r="C1083" s="55" t="s">
        <v>246</v>
      </c>
      <c r="D1083" s="55" t="s">
        <v>480</v>
      </c>
      <c r="E1083" s="55" t="s">
        <v>650</v>
      </c>
      <c r="F1083" s="55" t="s">
        <v>209</v>
      </c>
      <c r="G1083" s="55" t="s">
        <v>596</v>
      </c>
      <c r="H1083" s="56">
        <v>21.78</v>
      </c>
    </row>
    <row r="1084" spans="1:8" ht="14">
      <c r="A1084" s="54" t="s">
        <v>589</v>
      </c>
      <c r="B1084" s="55" t="s">
        <v>452</v>
      </c>
      <c r="C1084" s="55" t="s">
        <v>246</v>
      </c>
      <c r="D1084" s="55" t="s">
        <v>480</v>
      </c>
      <c r="E1084" s="55" t="s">
        <v>651</v>
      </c>
      <c r="F1084" s="55" t="s">
        <v>209</v>
      </c>
      <c r="G1084" s="55" t="s">
        <v>482</v>
      </c>
      <c r="H1084" s="56">
        <v>21.78</v>
      </c>
    </row>
    <row r="1085" spans="1:8" ht="14">
      <c r="A1085" s="54" t="s">
        <v>589</v>
      </c>
      <c r="B1085" s="55" t="s">
        <v>452</v>
      </c>
      <c r="C1085" s="55" t="s">
        <v>246</v>
      </c>
      <c r="D1085" s="55" t="s">
        <v>480</v>
      </c>
      <c r="E1085" s="55" t="s">
        <v>651</v>
      </c>
      <c r="F1085" s="55" t="s">
        <v>209</v>
      </c>
      <c r="G1085" s="55" t="s">
        <v>334</v>
      </c>
      <c r="H1085" s="56">
        <v>21.78</v>
      </c>
    </row>
    <row r="1086" spans="1:8" ht="14">
      <c r="A1086" s="54" t="s">
        <v>589</v>
      </c>
      <c r="B1086" s="55" t="s">
        <v>452</v>
      </c>
      <c r="C1086" s="55" t="s">
        <v>246</v>
      </c>
      <c r="D1086" s="55" t="s">
        <v>480</v>
      </c>
      <c r="E1086" s="55" t="s">
        <v>651</v>
      </c>
      <c r="F1086" s="55" t="s">
        <v>209</v>
      </c>
      <c r="G1086" s="55" t="s">
        <v>646</v>
      </c>
      <c r="H1086" s="56">
        <v>21.78</v>
      </c>
    </row>
    <row r="1087" spans="1:8" ht="14">
      <c r="A1087" s="54" t="s">
        <v>589</v>
      </c>
      <c r="B1087" s="55" t="s">
        <v>452</v>
      </c>
      <c r="C1087" s="55" t="s">
        <v>246</v>
      </c>
      <c r="D1087" s="55" t="s">
        <v>480</v>
      </c>
      <c r="E1087" s="55" t="s">
        <v>651</v>
      </c>
      <c r="F1087" s="55" t="s">
        <v>209</v>
      </c>
      <c r="G1087" s="55" t="s">
        <v>647</v>
      </c>
      <c r="H1087" s="56">
        <v>21.78</v>
      </c>
    </row>
    <row r="1088" spans="1:8" ht="14">
      <c r="A1088" s="54" t="s">
        <v>589</v>
      </c>
      <c r="B1088" s="55" t="s">
        <v>452</v>
      </c>
      <c r="C1088" s="55" t="s">
        <v>246</v>
      </c>
      <c r="D1088" s="55" t="s">
        <v>480</v>
      </c>
      <c r="E1088" s="55" t="s">
        <v>651</v>
      </c>
      <c r="F1088" s="55" t="s">
        <v>209</v>
      </c>
      <c r="G1088" s="55" t="s">
        <v>596</v>
      </c>
      <c r="H1088" s="56">
        <v>21.78</v>
      </c>
    </row>
    <row r="1089" spans="1:8" ht="14">
      <c r="A1089" s="54" t="s">
        <v>589</v>
      </c>
      <c r="B1089" s="55" t="s">
        <v>452</v>
      </c>
      <c r="C1089" s="55" t="s">
        <v>246</v>
      </c>
      <c r="D1089" s="55" t="s">
        <v>480</v>
      </c>
      <c r="E1089" s="55" t="s">
        <v>652</v>
      </c>
      <c r="F1089" s="55" t="s">
        <v>209</v>
      </c>
      <c r="G1089" s="55" t="s">
        <v>482</v>
      </c>
      <c r="H1089" s="56">
        <v>21.78</v>
      </c>
    </row>
    <row r="1090" spans="1:8" ht="14">
      <c r="A1090" s="54" t="s">
        <v>589</v>
      </c>
      <c r="B1090" s="55" t="s">
        <v>452</v>
      </c>
      <c r="C1090" s="55" t="s">
        <v>246</v>
      </c>
      <c r="D1090" s="55" t="s">
        <v>480</v>
      </c>
      <c r="E1090" s="55" t="s">
        <v>652</v>
      </c>
      <c r="F1090" s="55" t="s">
        <v>209</v>
      </c>
      <c r="G1090" s="55" t="s">
        <v>334</v>
      </c>
      <c r="H1090" s="56">
        <v>21.78</v>
      </c>
    </row>
    <row r="1091" spans="1:8" ht="14">
      <c r="A1091" s="54" t="s">
        <v>589</v>
      </c>
      <c r="B1091" s="55" t="s">
        <v>452</v>
      </c>
      <c r="C1091" s="55" t="s">
        <v>246</v>
      </c>
      <c r="D1091" s="55" t="s">
        <v>480</v>
      </c>
      <c r="E1091" s="55" t="s">
        <v>652</v>
      </c>
      <c r="F1091" s="55" t="s">
        <v>209</v>
      </c>
      <c r="G1091" s="55" t="s">
        <v>646</v>
      </c>
      <c r="H1091" s="56">
        <v>21.78</v>
      </c>
    </row>
    <row r="1092" spans="1:8" ht="14">
      <c r="A1092" s="54" t="s">
        <v>589</v>
      </c>
      <c r="B1092" s="55" t="s">
        <v>452</v>
      </c>
      <c r="C1092" s="55" t="s">
        <v>246</v>
      </c>
      <c r="D1092" s="55" t="s">
        <v>480</v>
      </c>
      <c r="E1092" s="55" t="s">
        <v>652</v>
      </c>
      <c r="F1092" s="55" t="s">
        <v>209</v>
      </c>
      <c r="G1092" s="55" t="s">
        <v>647</v>
      </c>
      <c r="H1092" s="56">
        <v>21.78</v>
      </c>
    </row>
    <row r="1093" spans="1:8" ht="14">
      <c r="A1093" s="54" t="s">
        <v>589</v>
      </c>
      <c r="B1093" s="55" t="s">
        <v>452</v>
      </c>
      <c r="C1093" s="55" t="s">
        <v>246</v>
      </c>
      <c r="D1093" s="55" t="s">
        <v>480</v>
      </c>
      <c r="E1093" s="55" t="s">
        <v>652</v>
      </c>
      <c r="F1093" s="55" t="s">
        <v>209</v>
      </c>
      <c r="G1093" s="55" t="s">
        <v>596</v>
      </c>
      <c r="H1093" s="56">
        <v>21.78</v>
      </c>
    </row>
    <row r="1094" spans="1:8" ht="14">
      <c r="A1094" s="54" t="s">
        <v>589</v>
      </c>
      <c r="B1094" s="55" t="s">
        <v>452</v>
      </c>
      <c r="C1094" s="55" t="s">
        <v>246</v>
      </c>
      <c r="D1094" s="55" t="s">
        <v>480</v>
      </c>
      <c r="E1094" s="55" t="s">
        <v>653</v>
      </c>
      <c r="F1094" s="55" t="s">
        <v>209</v>
      </c>
      <c r="G1094" s="55" t="s">
        <v>482</v>
      </c>
      <c r="H1094" s="56">
        <v>21.78</v>
      </c>
    </row>
    <row r="1095" spans="1:8" ht="14">
      <c r="A1095" s="54" t="s">
        <v>589</v>
      </c>
      <c r="B1095" s="55" t="s">
        <v>452</v>
      </c>
      <c r="C1095" s="55" t="s">
        <v>246</v>
      </c>
      <c r="D1095" s="55" t="s">
        <v>480</v>
      </c>
      <c r="E1095" s="55" t="s">
        <v>653</v>
      </c>
      <c r="F1095" s="55" t="s">
        <v>209</v>
      </c>
      <c r="G1095" s="55" t="s">
        <v>334</v>
      </c>
      <c r="H1095" s="56">
        <v>21.78</v>
      </c>
    </row>
    <row r="1096" spans="1:8" ht="14">
      <c r="A1096" s="54" t="s">
        <v>589</v>
      </c>
      <c r="B1096" s="55" t="s">
        <v>452</v>
      </c>
      <c r="C1096" s="55" t="s">
        <v>246</v>
      </c>
      <c r="D1096" s="55" t="s">
        <v>480</v>
      </c>
      <c r="E1096" s="55" t="s">
        <v>653</v>
      </c>
      <c r="F1096" s="55" t="s">
        <v>209</v>
      </c>
      <c r="G1096" s="55" t="s">
        <v>646</v>
      </c>
      <c r="H1096" s="56">
        <v>21.78</v>
      </c>
    </row>
    <row r="1097" spans="1:8" ht="14">
      <c r="A1097" s="54" t="s">
        <v>589</v>
      </c>
      <c r="B1097" s="55" t="s">
        <v>452</v>
      </c>
      <c r="C1097" s="55" t="s">
        <v>246</v>
      </c>
      <c r="D1097" s="55" t="s">
        <v>480</v>
      </c>
      <c r="E1097" s="55" t="s">
        <v>653</v>
      </c>
      <c r="F1097" s="55" t="s">
        <v>209</v>
      </c>
      <c r="G1097" s="55" t="s">
        <v>647</v>
      </c>
      <c r="H1097" s="56">
        <v>21.78</v>
      </c>
    </row>
    <row r="1098" spans="1:8" ht="14">
      <c r="A1098" s="54" t="s">
        <v>589</v>
      </c>
      <c r="B1098" s="55" t="s">
        <v>452</v>
      </c>
      <c r="C1098" s="55" t="s">
        <v>246</v>
      </c>
      <c r="D1098" s="55" t="s">
        <v>480</v>
      </c>
      <c r="E1098" s="55" t="s">
        <v>653</v>
      </c>
      <c r="F1098" s="55" t="s">
        <v>209</v>
      </c>
      <c r="G1098" s="55" t="s">
        <v>596</v>
      </c>
      <c r="H1098" s="56">
        <v>21.78</v>
      </c>
    </row>
    <row r="1099" spans="1:8" ht="14">
      <c r="A1099" s="54" t="s">
        <v>589</v>
      </c>
      <c r="B1099" s="55" t="s">
        <v>452</v>
      </c>
      <c r="C1099" s="55" t="s">
        <v>246</v>
      </c>
      <c r="D1099" s="55" t="s">
        <v>480</v>
      </c>
      <c r="E1099" s="55" t="s">
        <v>654</v>
      </c>
      <c r="F1099" s="55" t="s">
        <v>209</v>
      </c>
      <c r="G1099" s="55" t="s">
        <v>482</v>
      </c>
      <c r="H1099" s="56">
        <v>21.78</v>
      </c>
    </row>
    <row r="1100" spans="1:8" ht="14">
      <c r="A1100" s="54" t="s">
        <v>589</v>
      </c>
      <c r="B1100" s="55" t="s">
        <v>452</v>
      </c>
      <c r="C1100" s="55" t="s">
        <v>246</v>
      </c>
      <c r="D1100" s="55" t="s">
        <v>480</v>
      </c>
      <c r="E1100" s="55" t="s">
        <v>654</v>
      </c>
      <c r="F1100" s="55" t="s">
        <v>209</v>
      </c>
      <c r="G1100" s="55" t="s">
        <v>334</v>
      </c>
      <c r="H1100" s="56">
        <v>21.78</v>
      </c>
    </row>
    <row r="1101" spans="1:8" ht="14">
      <c r="A1101" s="54" t="s">
        <v>589</v>
      </c>
      <c r="B1101" s="55" t="s">
        <v>452</v>
      </c>
      <c r="C1101" s="55" t="s">
        <v>246</v>
      </c>
      <c r="D1101" s="55" t="s">
        <v>480</v>
      </c>
      <c r="E1101" s="55" t="s">
        <v>654</v>
      </c>
      <c r="F1101" s="55" t="s">
        <v>209</v>
      </c>
      <c r="G1101" s="55" t="s">
        <v>646</v>
      </c>
      <c r="H1101" s="56">
        <v>21.78</v>
      </c>
    </row>
    <row r="1102" spans="1:8" ht="14">
      <c r="A1102" s="54" t="s">
        <v>589</v>
      </c>
      <c r="B1102" s="55" t="s">
        <v>452</v>
      </c>
      <c r="C1102" s="55" t="s">
        <v>246</v>
      </c>
      <c r="D1102" s="55" t="s">
        <v>480</v>
      </c>
      <c r="E1102" s="55" t="s">
        <v>654</v>
      </c>
      <c r="F1102" s="55" t="s">
        <v>209</v>
      </c>
      <c r="G1102" s="55" t="s">
        <v>647</v>
      </c>
      <c r="H1102" s="56">
        <v>21.78</v>
      </c>
    </row>
    <row r="1103" spans="1:8" ht="14">
      <c r="A1103" s="54" t="s">
        <v>589</v>
      </c>
      <c r="B1103" s="55" t="s">
        <v>452</v>
      </c>
      <c r="C1103" s="55" t="s">
        <v>246</v>
      </c>
      <c r="D1103" s="55" t="s">
        <v>480</v>
      </c>
      <c r="E1103" s="55" t="s">
        <v>654</v>
      </c>
      <c r="F1103" s="55" t="s">
        <v>209</v>
      </c>
      <c r="G1103" s="55" t="s">
        <v>596</v>
      </c>
      <c r="H1103" s="56">
        <v>21.78</v>
      </c>
    </row>
    <row r="1104" spans="1:8" ht="14">
      <c r="A1104" s="54" t="s">
        <v>589</v>
      </c>
      <c r="B1104" s="55" t="s">
        <v>452</v>
      </c>
      <c r="C1104" s="55" t="s">
        <v>246</v>
      </c>
      <c r="D1104" s="55" t="s">
        <v>480</v>
      </c>
      <c r="E1104" s="55" t="s">
        <v>655</v>
      </c>
      <c r="F1104" s="55" t="s">
        <v>209</v>
      </c>
      <c r="G1104" s="55" t="s">
        <v>482</v>
      </c>
      <c r="H1104" s="56">
        <v>21.78</v>
      </c>
    </row>
    <row r="1105" spans="1:8" ht="14">
      <c r="A1105" s="54" t="s">
        <v>589</v>
      </c>
      <c r="B1105" s="55" t="s">
        <v>452</v>
      </c>
      <c r="C1105" s="55" t="s">
        <v>246</v>
      </c>
      <c r="D1105" s="55" t="s">
        <v>480</v>
      </c>
      <c r="E1105" s="55" t="s">
        <v>656</v>
      </c>
      <c r="F1105" s="55" t="s">
        <v>209</v>
      </c>
      <c r="G1105" s="55" t="s">
        <v>482</v>
      </c>
      <c r="H1105" s="56">
        <v>19.18</v>
      </c>
    </row>
    <row r="1106" spans="1:8" ht="14">
      <c r="A1106" s="54" t="s">
        <v>589</v>
      </c>
      <c r="B1106" s="55" t="s">
        <v>452</v>
      </c>
      <c r="C1106" s="55" t="s">
        <v>246</v>
      </c>
      <c r="D1106" s="55" t="s">
        <v>480</v>
      </c>
      <c r="E1106" s="55" t="s">
        <v>657</v>
      </c>
      <c r="F1106" s="55" t="s">
        <v>209</v>
      </c>
      <c r="G1106" s="55" t="s">
        <v>482</v>
      </c>
      <c r="H1106" s="56">
        <v>15.28</v>
      </c>
    </row>
    <row r="1107" spans="1:8" ht="14">
      <c r="A1107" s="54" t="s">
        <v>589</v>
      </c>
      <c r="B1107" s="55" t="s">
        <v>452</v>
      </c>
      <c r="C1107" s="55" t="s">
        <v>246</v>
      </c>
      <c r="D1107" s="55" t="s">
        <v>480</v>
      </c>
      <c r="E1107" s="55" t="s">
        <v>657</v>
      </c>
      <c r="F1107" s="55" t="s">
        <v>209</v>
      </c>
      <c r="G1107" s="55" t="s">
        <v>483</v>
      </c>
      <c r="H1107" s="56">
        <v>16.579999999999998</v>
      </c>
    </row>
    <row r="1108" spans="1:8" ht="14">
      <c r="A1108" s="54" t="s">
        <v>589</v>
      </c>
      <c r="B1108" s="55" t="s">
        <v>452</v>
      </c>
      <c r="C1108" s="55" t="s">
        <v>246</v>
      </c>
      <c r="D1108" s="55" t="s">
        <v>480</v>
      </c>
      <c r="E1108" s="55" t="s">
        <v>658</v>
      </c>
      <c r="F1108" s="55" t="s">
        <v>209</v>
      </c>
      <c r="G1108" s="55" t="s">
        <v>362</v>
      </c>
      <c r="H1108" s="56">
        <v>16.579999999999998</v>
      </c>
    </row>
    <row r="1109" spans="1:8" ht="14">
      <c r="A1109" s="54" t="s">
        <v>589</v>
      </c>
      <c r="B1109" s="55" t="s">
        <v>452</v>
      </c>
      <c r="C1109" s="55" t="s">
        <v>246</v>
      </c>
      <c r="D1109" s="55" t="s">
        <v>480</v>
      </c>
      <c r="E1109" s="55" t="s">
        <v>658</v>
      </c>
      <c r="F1109" s="55" t="s">
        <v>209</v>
      </c>
      <c r="G1109" s="55" t="s">
        <v>482</v>
      </c>
      <c r="H1109" s="56">
        <v>21.78</v>
      </c>
    </row>
    <row r="1110" spans="1:8" ht="14">
      <c r="A1110" s="54" t="s">
        <v>589</v>
      </c>
      <c r="B1110" s="55" t="s">
        <v>452</v>
      </c>
      <c r="C1110" s="55" t="s">
        <v>246</v>
      </c>
      <c r="D1110" s="55" t="s">
        <v>480</v>
      </c>
      <c r="E1110" s="55" t="s">
        <v>658</v>
      </c>
      <c r="F1110" s="55" t="s">
        <v>209</v>
      </c>
      <c r="G1110" s="55" t="s">
        <v>483</v>
      </c>
      <c r="H1110" s="56">
        <v>17.88</v>
      </c>
    </row>
    <row r="1111" spans="1:8" ht="14">
      <c r="A1111" s="54" t="s">
        <v>589</v>
      </c>
      <c r="B1111" s="55" t="s">
        <v>452</v>
      </c>
      <c r="C1111" s="55" t="s">
        <v>246</v>
      </c>
      <c r="D1111" s="55" t="s">
        <v>480</v>
      </c>
      <c r="E1111" s="55" t="s">
        <v>659</v>
      </c>
      <c r="F1111" s="55" t="s">
        <v>209</v>
      </c>
      <c r="G1111" s="55" t="s">
        <v>362</v>
      </c>
      <c r="H1111" s="56">
        <v>13.98</v>
      </c>
    </row>
    <row r="1112" spans="1:8" ht="14">
      <c r="A1112" s="54" t="s">
        <v>589</v>
      </c>
      <c r="B1112" s="55" t="s">
        <v>452</v>
      </c>
      <c r="C1112" s="55" t="s">
        <v>246</v>
      </c>
      <c r="D1112" s="55" t="s">
        <v>480</v>
      </c>
      <c r="E1112" s="55" t="s">
        <v>660</v>
      </c>
      <c r="F1112" s="55" t="s">
        <v>209</v>
      </c>
      <c r="G1112" s="55" t="s">
        <v>362</v>
      </c>
      <c r="H1112" s="56">
        <v>23.08</v>
      </c>
    </row>
    <row r="1113" spans="1:8" ht="14">
      <c r="A1113" s="54" t="s">
        <v>589</v>
      </c>
      <c r="B1113" s="55" t="s">
        <v>452</v>
      </c>
      <c r="C1113" s="55" t="s">
        <v>246</v>
      </c>
      <c r="D1113" s="55" t="s">
        <v>480</v>
      </c>
      <c r="E1113" s="55" t="s">
        <v>661</v>
      </c>
      <c r="F1113" s="55" t="s">
        <v>209</v>
      </c>
      <c r="G1113" s="55" t="s">
        <v>362</v>
      </c>
      <c r="H1113" s="56">
        <v>11.38</v>
      </c>
    </row>
    <row r="1114" spans="1:8" ht="14">
      <c r="A1114" s="54" t="s">
        <v>589</v>
      </c>
      <c r="B1114" s="55" t="s">
        <v>452</v>
      </c>
      <c r="C1114" s="55" t="s">
        <v>246</v>
      </c>
      <c r="D1114" s="55" t="s">
        <v>480</v>
      </c>
      <c r="E1114" s="55" t="s">
        <v>662</v>
      </c>
      <c r="F1114" s="55" t="s">
        <v>209</v>
      </c>
      <c r="G1114" s="55" t="s">
        <v>362</v>
      </c>
      <c r="H1114" s="56">
        <v>16.579999999999998</v>
      </c>
    </row>
    <row r="1115" spans="1:8" ht="14">
      <c r="A1115" s="54" t="s">
        <v>589</v>
      </c>
      <c r="B1115" s="55" t="s">
        <v>452</v>
      </c>
      <c r="C1115" s="55" t="s">
        <v>246</v>
      </c>
      <c r="D1115" s="55" t="s">
        <v>480</v>
      </c>
      <c r="E1115" s="55" t="s">
        <v>662</v>
      </c>
      <c r="F1115" s="55" t="s">
        <v>209</v>
      </c>
      <c r="G1115" s="55" t="s">
        <v>483</v>
      </c>
      <c r="H1115" s="56">
        <v>19.18</v>
      </c>
    </row>
    <row r="1116" spans="1:8" ht="14">
      <c r="A1116" s="54" t="s">
        <v>589</v>
      </c>
      <c r="B1116" s="55" t="s">
        <v>452</v>
      </c>
      <c r="C1116" s="55" t="s">
        <v>246</v>
      </c>
      <c r="D1116" s="55" t="s">
        <v>480</v>
      </c>
      <c r="E1116" s="55" t="s">
        <v>662</v>
      </c>
      <c r="F1116" s="55" t="s">
        <v>209</v>
      </c>
      <c r="G1116" s="55" t="s">
        <v>334</v>
      </c>
      <c r="H1116" s="56">
        <v>19.829999999999998</v>
      </c>
    </row>
    <row r="1117" spans="1:8" ht="14">
      <c r="A1117" s="54" t="s">
        <v>589</v>
      </c>
      <c r="B1117" s="55" t="s">
        <v>452</v>
      </c>
      <c r="C1117" s="55" t="s">
        <v>246</v>
      </c>
      <c r="D1117" s="55" t="s">
        <v>480</v>
      </c>
      <c r="E1117" s="55" t="s">
        <v>662</v>
      </c>
      <c r="F1117" s="55" t="s">
        <v>209</v>
      </c>
      <c r="G1117" s="55" t="s">
        <v>458</v>
      </c>
      <c r="H1117" s="56">
        <v>19.829999999999998</v>
      </c>
    </row>
    <row r="1118" spans="1:8" ht="14">
      <c r="A1118" s="54" t="s">
        <v>589</v>
      </c>
      <c r="B1118" s="55" t="s">
        <v>452</v>
      </c>
      <c r="C1118" s="55" t="s">
        <v>246</v>
      </c>
      <c r="D1118" s="55" t="s">
        <v>480</v>
      </c>
      <c r="E1118" s="55" t="s">
        <v>662</v>
      </c>
      <c r="F1118" s="55" t="s">
        <v>209</v>
      </c>
      <c r="G1118" s="55" t="s">
        <v>295</v>
      </c>
      <c r="H1118" s="56">
        <v>19.829999999999998</v>
      </c>
    </row>
    <row r="1119" spans="1:8" ht="14">
      <c r="A1119" s="54" t="s">
        <v>589</v>
      </c>
      <c r="B1119" s="55" t="s">
        <v>452</v>
      </c>
      <c r="C1119" s="55" t="s">
        <v>246</v>
      </c>
      <c r="D1119" s="55" t="s">
        <v>480</v>
      </c>
      <c r="E1119" s="55" t="s">
        <v>663</v>
      </c>
      <c r="F1119" s="55" t="s">
        <v>209</v>
      </c>
      <c r="G1119" s="55" t="s">
        <v>362</v>
      </c>
      <c r="H1119" s="56">
        <v>10.73</v>
      </c>
    </row>
    <row r="1120" spans="1:8" ht="14">
      <c r="A1120" s="54" t="s">
        <v>589</v>
      </c>
      <c r="B1120" s="55" t="s">
        <v>452</v>
      </c>
      <c r="C1120" s="55" t="s">
        <v>246</v>
      </c>
      <c r="D1120" s="55" t="s">
        <v>480</v>
      </c>
      <c r="E1120" s="55" t="s">
        <v>664</v>
      </c>
      <c r="F1120" s="55" t="s">
        <v>209</v>
      </c>
      <c r="G1120" s="55" t="s">
        <v>362</v>
      </c>
      <c r="H1120" s="56">
        <v>20.48</v>
      </c>
    </row>
    <row r="1121" spans="1:8" ht="14">
      <c r="A1121" s="54" t="s">
        <v>589</v>
      </c>
      <c r="B1121" s="55" t="s">
        <v>452</v>
      </c>
      <c r="C1121" s="55" t="s">
        <v>246</v>
      </c>
      <c r="D1121" s="55" t="s">
        <v>480</v>
      </c>
      <c r="E1121" s="55" t="s">
        <v>664</v>
      </c>
      <c r="F1121" s="55" t="s">
        <v>209</v>
      </c>
      <c r="G1121" s="55" t="s">
        <v>482</v>
      </c>
      <c r="H1121" s="56">
        <v>28.29</v>
      </c>
    </row>
    <row r="1122" spans="1:8" ht="14">
      <c r="A1122" s="54" t="s">
        <v>589</v>
      </c>
      <c r="B1122" s="55" t="s">
        <v>452</v>
      </c>
      <c r="C1122" s="55" t="s">
        <v>246</v>
      </c>
      <c r="D1122" s="55" t="s">
        <v>480</v>
      </c>
      <c r="E1122" s="55" t="s">
        <v>664</v>
      </c>
      <c r="F1122" s="55" t="s">
        <v>209</v>
      </c>
      <c r="G1122" s="55" t="s">
        <v>483</v>
      </c>
      <c r="H1122" s="56">
        <v>37.39</v>
      </c>
    </row>
    <row r="1123" spans="1:8" ht="14">
      <c r="A1123" s="54" t="s">
        <v>589</v>
      </c>
      <c r="B1123" s="55" t="s">
        <v>452</v>
      </c>
      <c r="C1123" s="55" t="s">
        <v>246</v>
      </c>
      <c r="D1123" s="55" t="s">
        <v>480</v>
      </c>
      <c r="E1123" s="55" t="s">
        <v>665</v>
      </c>
      <c r="F1123" s="55" t="s">
        <v>209</v>
      </c>
      <c r="G1123" s="55" t="s">
        <v>362</v>
      </c>
      <c r="H1123" s="56">
        <v>16.579999999999998</v>
      </c>
    </row>
    <row r="1124" spans="1:8" ht="14">
      <c r="A1124" s="54" t="s">
        <v>589</v>
      </c>
      <c r="B1124" s="55" t="s">
        <v>452</v>
      </c>
      <c r="C1124" s="55" t="s">
        <v>246</v>
      </c>
      <c r="D1124" s="55" t="s">
        <v>480</v>
      </c>
      <c r="E1124" s="55" t="s">
        <v>665</v>
      </c>
      <c r="F1124" s="55" t="s">
        <v>209</v>
      </c>
      <c r="G1124" s="55" t="s">
        <v>482</v>
      </c>
      <c r="H1124" s="56">
        <v>21.78</v>
      </c>
    </row>
    <row r="1125" spans="1:8" ht="14">
      <c r="A1125" s="54" t="s">
        <v>589</v>
      </c>
      <c r="B1125" s="55" t="s">
        <v>452</v>
      </c>
      <c r="C1125" s="55" t="s">
        <v>246</v>
      </c>
      <c r="D1125" s="55" t="s">
        <v>480</v>
      </c>
      <c r="E1125" s="55" t="s">
        <v>665</v>
      </c>
      <c r="F1125" s="55" t="s">
        <v>209</v>
      </c>
      <c r="G1125" s="55" t="s">
        <v>483</v>
      </c>
      <c r="H1125" s="56">
        <v>19.18</v>
      </c>
    </row>
    <row r="1126" spans="1:8" ht="14">
      <c r="A1126" s="54" t="s">
        <v>589</v>
      </c>
      <c r="B1126" s="55" t="s">
        <v>452</v>
      </c>
      <c r="C1126" s="55" t="s">
        <v>246</v>
      </c>
      <c r="D1126" s="55" t="s">
        <v>480</v>
      </c>
      <c r="E1126" s="55" t="s">
        <v>666</v>
      </c>
      <c r="F1126" s="55" t="s">
        <v>209</v>
      </c>
      <c r="G1126" s="55" t="s">
        <v>362</v>
      </c>
      <c r="H1126" s="56">
        <v>16.91</v>
      </c>
    </row>
    <row r="1127" spans="1:8" ht="14">
      <c r="A1127" s="54" t="s">
        <v>589</v>
      </c>
      <c r="B1127" s="55" t="s">
        <v>452</v>
      </c>
      <c r="C1127" s="55" t="s">
        <v>246</v>
      </c>
      <c r="D1127" s="55" t="s">
        <v>480</v>
      </c>
      <c r="E1127" s="55" t="s">
        <v>666</v>
      </c>
      <c r="F1127" s="55" t="s">
        <v>209</v>
      </c>
      <c r="G1127" s="55" t="s">
        <v>482</v>
      </c>
      <c r="H1127" s="56">
        <v>18.53</v>
      </c>
    </row>
    <row r="1128" spans="1:8" ht="14">
      <c r="A1128" s="54" t="s">
        <v>589</v>
      </c>
      <c r="B1128" s="55" t="s">
        <v>452</v>
      </c>
      <c r="C1128" s="55" t="s">
        <v>246</v>
      </c>
      <c r="D1128" s="55" t="s">
        <v>480</v>
      </c>
      <c r="E1128" s="55" t="s">
        <v>666</v>
      </c>
      <c r="F1128" s="55" t="s">
        <v>209</v>
      </c>
      <c r="G1128" s="55" t="s">
        <v>483</v>
      </c>
      <c r="H1128" s="56">
        <v>19.829999999999998</v>
      </c>
    </row>
    <row r="1129" spans="1:8" ht="14">
      <c r="A1129" s="54" t="s">
        <v>589</v>
      </c>
      <c r="B1129" s="55" t="s">
        <v>452</v>
      </c>
      <c r="C1129" s="55" t="s">
        <v>246</v>
      </c>
      <c r="D1129" s="55" t="s">
        <v>667</v>
      </c>
      <c r="E1129" s="55" t="s">
        <v>668</v>
      </c>
      <c r="F1129" s="55" t="s">
        <v>209</v>
      </c>
      <c r="G1129" s="55" t="s">
        <v>362</v>
      </c>
      <c r="H1129" s="56">
        <v>27.64</v>
      </c>
    </row>
    <row r="1130" spans="1:8" ht="14">
      <c r="A1130" s="54" t="s">
        <v>589</v>
      </c>
      <c r="B1130" s="55" t="s">
        <v>452</v>
      </c>
      <c r="C1130" s="55" t="s">
        <v>246</v>
      </c>
      <c r="D1130" s="55" t="s">
        <v>667</v>
      </c>
      <c r="E1130" s="55" t="s">
        <v>669</v>
      </c>
      <c r="F1130" s="55" t="s">
        <v>209</v>
      </c>
      <c r="G1130" s="55" t="s">
        <v>362</v>
      </c>
      <c r="H1130" s="56">
        <v>15.28</v>
      </c>
    </row>
    <row r="1131" spans="1:8" ht="14">
      <c r="A1131" s="54" t="s">
        <v>589</v>
      </c>
      <c r="B1131" s="55" t="s">
        <v>452</v>
      </c>
      <c r="C1131" s="55" t="s">
        <v>246</v>
      </c>
      <c r="D1131" s="55" t="s">
        <v>667</v>
      </c>
      <c r="E1131" s="55" t="s">
        <v>670</v>
      </c>
      <c r="F1131" s="55" t="s">
        <v>209</v>
      </c>
      <c r="G1131" s="55" t="s">
        <v>362</v>
      </c>
      <c r="H1131" s="56">
        <v>27.64</v>
      </c>
    </row>
    <row r="1132" spans="1:8" ht="14">
      <c r="A1132" s="54" t="s">
        <v>589</v>
      </c>
      <c r="B1132" s="55" t="s">
        <v>452</v>
      </c>
      <c r="C1132" s="55" t="s">
        <v>246</v>
      </c>
      <c r="D1132" s="55" t="s">
        <v>671</v>
      </c>
      <c r="E1132" s="55" t="s">
        <v>672</v>
      </c>
      <c r="F1132" s="55" t="s">
        <v>209</v>
      </c>
      <c r="G1132" s="55" t="s">
        <v>362</v>
      </c>
      <c r="H1132" s="56">
        <v>8.65</v>
      </c>
    </row>
    <row r="1133" spans="1:8" ht="14">
      <c r="A1133" s="54" t="s">
        <v>589</v>
      </c>
      <c r="B1133" s="55" t="s">
        <v>452</v>
      </c>
      <c r="C1133" s="55" t="s">
        <v>246</v>
      </c>
      <c r="D1133" s="55" t="s">
        <v>671</v>
      </c>
      <c r="E1133" s="55" t="s">
        <v>672</v>
      </c>
      <c r="F1133" s="55" t="s">
        <v>209</v>
      </c>
      <c r="G1133" s="55" t="s">
        <v>457</v>
      </c>
      <c r="H1133" s="56">
        <v>8.65</v>
      </c>
    </row>
    <row r="1134" spans="1:8" ht="14">
      <c r="A1134" s="54" t="s">
        <v>589</v>
      </c>
      <c r="B1134" s="55" t="s">
        <v>452</v>
      </c>
      <c r="C1134" s="55" t="s">
        <v>246</v>
      </c>
      <c r="D1134" s="55" t="s">
        <v>671</v>
      </c>
      <c r="E1134" s="55" t="s">
        <v>673</v>
      </c>
      <c r="F1134" s="55" t="s">
        <v>209</v>
      </c>
      <c r="G1134" s="55" t="s">
        <v>362</v>
      </c>
      <c r="H1134" s="56">
        <v>10.7</v>
      </c>
    </row>
    <row r="1135" spans="1:8" ht="14">
      <c r="A1135" s="54" t="s">
        <v>589</v>
      </c>
      <c r="B1135" s="55" t="s">
        <v>452</v>
      </c>
      <c r="C1135" s="55" t="s">
        <v>246</v>
      </c>
      <c r="D1135" s="55" t="s">
        <v>671</v>
      </c>
      <c r="E1135" s="55" t="s">
        <v>673</v>
      </c>
      <c r="F1135" s="55" t="s">
        <v>209</v>
      </c>
      <c r="G1135" s="55" t="s">
        <v>457</v>
      </c>
      <c r="H1135" s="56">
        <v>11.06</v>
      </c>
    </row>
    <row r="1136" spans="1:8" ht="14">
      <c r="A1136" s="54" t="s">
        <v>589</v>
      </c>
      <c r="B1136" s="55" t="s">
        <v>452</v>
      </c>
      <c r="C1136" s="55" t="s">
        <v>246</v>
      </c>
      <c r="D1136" s="55" t="s">
        <v>671</v>
      </c>
      <c r="E1136" s="55" t="s">
        <v>674</v>
      </c>
      <c r="F1136" s="55" t="s">
        <v>209</v>
      </c>
      <c r="G1136" s="55" t="s">
        <v>362</v>
      </c>
      <c r="H1136" s="56">
        <v>10.7</v>
      </c>
    </row>
    <row r="1137" spans="1:8" ht="14">
      <c r="A1137" s="54" t="s">
        <v>589</v>
      </c>
      <c r="B1137" s="55" t="s">
        <v>452</v>
      </c>
      <c r="C1137" s="55" t="s">
        <v>246</v>
      </c>
      <c r="D1137" s="55" t="s">
        <v>671</v>
      </c>
      <c r="E1137" s="55" t="s">
        <v>674</v>
      </c>
      <c r="F1137" s="55" t="s">
        <v>209</v>
      </c>
      <c r="G1137" s="55" t="s">
        <v>457</v>
      </c>
      <c r="H1137" s="56">
        <v>11.06</v>
      </c>
    </row>
    <row r="1138" spans="1:8" ht="14">
      <c r="A1138" s="54" t="s">
        <v>589</v>
      </c>
      <c r="B1138" s="55" t="s">
        <v>452</v>
      </c>
      <c r="C1138" s="55" t="s">
        <v>246</v>
      </c>
      <c r="D1138" s="55" t="s">
        <v>671</v>
      </c>
      <c r="E1138" s="55" t="s">
        <v>675</v>
      </c>
      <c r="F1138" s="55" t="s">
        <v>209</v>
      </c>
      <c r="G1138" s="55" t="s">
        <v>362</v>
      </c>
      <c r="H1138" s="56">
        <v>12.68</v>
      </c>
    </row>
    <row r="1139" spans="1:8" ht="14">
      <c r="A1139" s="54" t="s">
        <v>589</v>
      </c>
      <c r="B1139" s="55" t="s">
        <v>452</v>
      </c>
      <c r="C1139" s="55" t="s">
        <v>246</v>
      </c>
      <c r="D1139" s="55" t="s">
        <v>671</v>
      </c>
      <c r="E1139" s="55" t="s">
        <v>675</v>
      </c>
      <c r="F1139" s="55" t="s">
        <v>209</v>
      </c>
      <c r="G1139" s="55" t="s">
        <v>457</v>
      </c>
      <c r="H1139" s="56">
        <v>13.98</v>
      </c>
    </row>
    <row r="1140" spans="1:8" ht="14">
      <c r="A1140" s="54" t="s">
        <v>589</v>
      </c>
      <c r="B1140" s="55" t="s">
        <v>452</v>
      </c>
      <c r="C1140" s="55" t="s">
        <v>246</v>
      </c>
      <c r="D1140" s="55" t="s">
        <v>671</v>
      </c>
      <c r="E1140" s="55" t="s">
        <v>676</v>
      </c>
      <c r="F1140" s="55" t="s">
        <v>209</v>
      </c>
      <c r="G1140" s="55" t="s">
        <v>362</v>
      </c>
      <c r="H1140" s="56">
        <v>9.0399999999999991</v>
      </c>
    </row>
    <row r="1141" spans="1:8" ht="14">
      <c r="A1141" s="54" t="s">
        <v>589</v>
      </c>
      <c r="B1141" s="55" t="s">
        <v>452</v>
      </c>
      <c r="C1141" s="55" t="s">
        <v>246</v>
      </c>
      <c r="D1141" s="55" t="s">
        <v>671</v>
      </c>
      <c r="E1141" s="55" t="s">
        <v>676</v>
      </c>
      <c r="F1141" s="55" t="s">
        <v>209</v>
      </c>
      <c r="G1141" s="55" t="s">
        <v>482</v>
      </c>
      <c r="H1141" s="56">
        <v>11.38</v>
      </c>
    </row>
    <row r="1142" spans="1:8" ht="14">
      <c r="A1142" s="54" t="s">
        <v>589</v>
      </c>
      <c r="B1142" s="55" t="s">
        <v>452</v>
      </c>
      <c r="C1142" s="55" t="s">
        <v>246</v>
      </c>
      <c r="D1142" s="55" t="s">
        <v>671</v>
      </c>
      <c r="E1142" s="55" t="s">
        <v>676</v>
      </c>
      <c r="F1142" s="55" t="s">
        <v>209</v>
      </c>
      <c r="G1142" s="55" t="s">
        <v>457</v>
      </c>
      <c r="H1142" s="56">
        <v>9.69</v>
      </c>
    </row>
    <row r="1143" spans="1:8" ht="14">
      <c r="A1143" s="54" t="s">
        <v>589</v>
      </c>
      <c r="B1143" s="55" t="s">
        <v>452</v>
      </c>
      <c r="C1143" s="55" t="s">
        <v>246</v>
      </c>
      <c r="D1143" s="55" t="s">
        <v>671</v>
      </c>
      <c r="E1143" s="55" t="s">
        <v>676</v>
      </c>
      <c r="F1143" s="55" t="s">
        <v>209</v>
      </c>
      <c r="G1143" s="55" t="s">
        <v>220</v>
      </c>
      <c r="H1143" s="56">
        <v>12.03</v>
      </c>
    </row>
    <row r="1144" spans="1:8" ht="14">
      <c r="A1144" s="54" t="s">
        <v>589</v>
      </c>
      <c r="B1144" s="55" t="s">
        <v>452</v>
      </c>
      <c r="C1144" s="55" t="s">
        <v>246</v>
      </c>
      <c r="D1144" s="55" t="s">
        <v>671</v>
      </c>
      <c r="E1144" s="55" t="s">
        <v>677</v>
      </c>
      <c r="F1144" s="55" t="s">
        <v>209</v>
      </c>
      <c r="G1144" s="55" t="s">
        <v>362</v>
      </c>
      <c r="H1144" s="56">
        <v>12.68</v>
      </c>
    </row>
    <row r="1145" spans="1:8" ht="14">
      <c r="A1145" s="54" t="s">
        <v>589</v>
      </c>
      <c r="B1145" s="55" t="s">
        <v>452</v>
      </c>
      <c r="C1145" s="55" t="s">
        <v>246</v>
      </c>
      <c r="D1145" s="55" t="s">
        <v>671</v>
      </c>
      <c r="E1145" s="55" t="s">
        <v>677</v>
      </c>
      <c r="F1145" s="55" t="s">
        <v>209</v>
      </c>
      <c r="G1145" s="55" t="s">
        <v>457</v>
      </c>
      <c r="H1145" s="56">
        <v>13.98</v>
      </c>
    </row>
    <row r="1146" spans="1:8" ht="14">
      <c r="A1146" s="54" t="s">
        <v>589</v>
      </c>
      <c r="B1146" s="55" t="s">
        <v>452</v>
      </c>
      <c r="C1146" s="55" t="s">
        <v>246</v>
      </c>
      <c r="D1146" s="55" t="s">
        <v>671</v>
      </c>
      <c r="E1146" s="55" t="s">
        <v>678</v>
      </c>
      <c r="F1146" s="55" t="s">
        <v>209</v>
      </c>
      <c r="G1146" s="55" t="s">
        <v>362</v>
      </c>
      <c r="H1146" s="56">
        <v>10.7</v>
      </c>
    </row>
    <row r="1147" spans="1:8" ht="14">
      <c r="A1147" s="54" t="s">
        <v>589</v>
      </c>
      <c r="B1147" s="55" t="s">
        <v>452</v>
      </c>
      <c r="C1147" s="55" t="s">
        <v>246</v>
      </c>
      <c r="D1147" s="55" t="s">
        <v>671</v>
      </c>
      <c r="E1147" s="55" t="s">
        <v>678</v>
      </c>
      <c r="F1147" s="55" t="s">
        <v>209</v>
      </c>
      <c r="G1147" s="55" t="s">
        <v>482</v>
      </c>
      <c r="H1147" s="56">
        <v>13.98</v>
      </c>
    </row>
    <row r="1148" spans="1:8" ht="14">
      <c r="A1148" s="54" t="s">
        <v>589</v>
      </c>
      <c r="B1148" s="55" t="s">
        <v>452</v>
      </c>
      <c r="C1148" s="55" t="s">
        <v>246</v>
      </c>
      <c r="D1148" s="55" t="s">
        <v>671</v>
      </c>
      <c r="E1148" s="55" t="s">
        <v>678</v>
      </c>
      <c r="F1148" s="55" t="s">
        <v>209</v>
      </c>
      <c r="G1148" s="55" t="s">
        <v>457</v>
      </c>
      <c r="H1148" s="56">
        <v>11.06</v>
      </c>
    </row>
    <row r="1149" spans="1:8" ht="14">
      <c r="A1149" s="54" t="s">
        <v>589</v>
      </c>
      <c r="B1149" s="55" t="s">
        <v>452</v>
      </c>
      <c r="C1149" s="55" t="s">
        <v>246</v>
      </c>
      <c r="D1149" s="55" t="s">
        <v>671</v>
      </c>
      <c r="E1149" s="55" t="s">
        <v>678</v>
      </c>
      <c r="F1149" s="55" t="s">
        <v>209</v>
      </c>
      <c r="G1149" s="55" t="s">
        <v>220</v>
      </c>
      <c r="H1149" s="56">
        <v>14.63</v>
      </c>
    </row>
    <row r="1150" spans="1:8" ht="14">
      <c r="A1150" s="54" t="s">
        <v>589</v>
      </c>
      <c r="B1150" s="55" t="s">
        <v>452</v>
      </c>
      <c r="C1150" s="55" t="s">
        <v>246</v>
      </c>
      <c r="D1150" s="55" t="s">
        <v>671</v>
      </c>
      <c r="E1150" s="55" t="s">
        <v>679</v>
      </c>
      <c r="F1150" s="55" t="s">
        <v>209</v>
      </c>
      <c r="G1150" s="55" t="s">
        <v>362</v>
      </c>
      <c r="H1150" s="56">
        <v>10.7</v>
      </c>
    </row>
    <row r="1151" spans="1:8" ht="14">
      <c r="A1151" s="54" t="s">
        <v>589</v>
      </c>
      <c r="B1151" s="55" t="s">
        <v>452</v>
      </c>
      <c r="C1151" s="55" t="s">
        <v>246</v>
      </c>
      <c r="D1151" s="55" t="s">
        <v>671</v>
      </c>
      <c r="E1151" s="55" t="s">
        <v>679</v>
      </c>
      <c r="F1151" s="55" t="s">
        <v>209</v>
      </c>
      <c r="G1151" s="55" t="s">
        <v>457</v>
      </c>
      <c r="H1151" s="56">
        <v>11.06</v>
      </c>
    </row>
    <row r="1152" spans="1:8" ht="14">
      <c r="A1152" s="54" t="s">
        <v>589</v>
      </c>
      <c r="B1152" s="55" t="s">
        <v>452</v>
      </c>
      <c r="C1152" s="55" t="s">
        <v>246</v>
      </c>
      <c r="D1152" s="55" t="s">
        <v>671</v>
      </c>
      <c r="E1152" s="55" t="s">
        <v>680</v>
      </c>
      <c r="F1152" s="55" t="s">
        <v>209</v>
      </c>
      <c r="G1152" s="55" t="s">
        <v>362</v>
      </c>
      <c r="H1152" s="56">
        <v>9.0399999999999991</v>
      </c>
    </row>
    <row r="1153" spans="1:8" ht="14">
      <c r="A1153" s="54" t="s">
        <v>589</v>
      </c>
      <c r="B1153" s="55" t="s">
        <v>452</v>
      </c>
      <c r="C1153" s="55" t="s">
        <v>246</v>
      </c>
      <c r="D1153" s="55" t="s">
        <v>671</v>
      </c>
      <c r="E1153" s="55" t="s">
        <v>680</v>
      </c>
      <c r="F1153" s="55" t="s">
        <v>209</v>
      </c>
      <c r="G1153" s="55" t="s">
        <v>457</v>
      </c>
      <c r="H1153" s="56">
        <v>9.36</v>
      </c>
    </row>
    <row r="1154" spans="1:8" ht="14">
      <c r="A1154" s="54" t="s">
        <v>589</v>
      </c>
      <c r="B1154" s="55" t="s">
        <v>452</v>
      </c>
      <c r="C1154" s="55" t="s">
        <v>246</v>
      </c>
      <c r="D1154" s="55" t="s">
        <v>671</v>
      </c>
      <c r="E1154" s="55" t="s">
        <v>681</v>
      </c>
      <c r="F1154" s="55" t="s">
        <v>209</v>
      </c>
      <c r="G1154" s="55" t="s">
        <v>362</v>
      </c>
      <c r="H1154" s="56">
        <v>9.36</v>
      </c>
    </row>
    <row r="1155" spans="1:8" ht="14">
      <c r="A1155" s="54" t="s">
        <v>589</v>
      </c>
      <c r="B1155" s="55" t="s">
        <v>452</v>
      </c>
      <c r="C1155" s="55" t="s">
        <v>246</v>
      </c>
      <c r="D1155" s="55" t="s">
        <v>671</v>
      </c>
      <c r="E1155" s="55" t="s">
        <v>681</v>
      </c>
      <c r="F1155" s="55" t="s">
        <v>209</v>
      </c>
      <c r="G1155" s="55" t="s">
        <v>457</v>
      </c>
      <c r="H1155" s="56">
        <v>9.69</v>
      </c>
    </row>
    <row r="1156" spans="1:8" ht="14">
      <c r="A1156" s="54" t="s">
        <v>589</v>
      </c>
      <c r="B1156" s="55" t="s">
        <v>452</v>
      </c>
      <c r="C1156" s="55" t="s">
        <v>246</v>
      </c>
      <c r="D1156" s="55" t="s">
        <v>671</v>
      </c>
      <c r="E1156" s="55" t="s">
        <v>682</v>
      </c>
      <c r="F1156" s="55" t="s">
        <v>209</v>
      </c>
      <c r="G1156" s="55" t="s">
        <v>362</v>
      </c>
      <c r="H1156" s="56">
        <v>8.65</v>
      </c>
    </row>
    <row r="1157" spans="1:8" ht="14">
      <c r="A1157" s="54" t="s">
        <v>589</v>
      </c>
      <c r="B1157" s="55" t="s">
        <v>452</v>
      </c>
      <c r="C1157" s="55" t="s">
        <v>246</v>
      </c>
      <c r="D1157" s="55" t="s">
        <v>671</v>
      </c>
      <c r="E1157" s="55" t="s">
        <v>682</v>
      </c>
      <c r="F1157" s="55" t="s">
        <v>209</v>
      </c>
      <c r="G1157" s="55" t="s">
        <v>457</v>
      </c>
      <c r="H1157" s="56">
        <v>8.65</v>
      </c>
    </row>
    <row r="1158" spans="1:8" ht="14">
      <c r="A1158" s="54" t="s">
        <v>589</v>
      </c>
      <c r="B1158" s="55" t="s">
        <v>452</v>
      </c>
      <c r="C1158" s="55" t="s">
        <v>246</v>
      </c>
      <c r="D1158" s="55" t="s">
        <v>671</v>
      </c>
      <c r="E1158" s="55" t="s">
        <v>683</v>
      </c>
      <c r="F1158" s="55" t="s">
        <v>209</v>
      </c>
      <c r="G1158" s="55" t="s">
        <v>362</v>
      </c>
      <c r="H1158" s="56">
        <v>8.65</v>
      </c>
    </row>
    <row r="1159" spans="1:8" ht="14">
      <c r="A1159" s="54" t="s">
        <v>589</v>
      </c>
      <c r="B1159" s="55" t="s">
        <v>452</v>
      </c>
      <c r="C1159" s="55" t="s">
        <v>246</v>
      </c>
      <c r="D1159" s="55" t="s">
        <v>671</v>
      </c>
      <c r="E1159" s="55" t="s">
        <v>683</v>
      </c>
      <c r="F1159" s="55" t="s">
        <v>209</v>
      </c>
      <c r="G1159" s="55" t="s">
        <v>482</v>
      </c>
      <c r="H1159" s="56">
        <v>10.08</v>
      </c>
    </row>
    <row r="1160" spans="1:8" ht="14">
      <c r="A1160" s="54" t="s">
        <v>589</v>
      </c>
      <c r="B1160" s="55" t="s">
        <v>452</v>
      </c>
      <c r="C1160" s="55" t="s">
        <v>246</v>
      </c>
      <c r="D1160" s="55" t="s">
        <v>671</v>
      </c>
      <c r="E1160" s="55" t="s">
        <v>683</v>
      </c>
      <c r="F1160" s="55" t="s">
        <v>209</v>
      </c>
      <c r="G1160" s="55" t="s">
        <v>457</v>
      </c>
      <c r="H1160" s="56">
        <v>8.65</v>
      </c>
    </row>
    <row r="1161" spans="1:8" ht="14">
      <c r="A1161" s="54" t="s">
        <v>589</v>
      </c>
      <c r="B1161" s="55" t="s">
        <v>452</v>
      </c>
      <c r="C1161" s="55" t="s">
        <v>246</v>
      </c>
      <c r="D1161" s="55" t="s">
        <v>671</v>
      </c>
      <c r="E1161" s="55" t="s">
        <v>684</v>
      </c>
      <c r="F1161" s="55" t="s">
        <v>209</v>
      </c>
      <c r="G1161" s="55" t="s">
        <v>362</v>
      </c>
      <c r="H1161" s="56">
        <v>12.68</v>
      </c>
    </row>
    <row r="1162" spans="1:8" ht="14">
      <c r="A1162" s="54" t="s">
        <v>589</v>
      </c>
      <c r="B1162" s="55" t="s">
        <v>452</v>
      </c>
      <c r="C1162" s="55" t="s">
        <v>246</v>
      </c>
      <c r="D1162" s="55" t="s">
        <v>671</v>
      </c>
      <c r="E1162" s="55" t="s">
        <v>684</v>
      </c>
      <c r="F1162" s="55" t="s">
        <v>209</v>
      </c>
      <c r="G1162" s="55" t="s">
        <v>457</v>
      </c>
      <c r="H1162" s="56">
        <v>13.98</v>
      </c>
    </row>
    <row r="1163" spans="1:8" ht="14">
      <c r="A1163" s="54" t="s">
        <v>589</v>
      </c>
      <c r="B1163" s="55" t="s">
        <v>452</v>
      </c>
      <c r="C1163" s="55" t="s">
        <v>246</v>
      </c>
      <c r="D1163" s="55" t="s">
        <v>685</v>
      </c>
      <c r="E1163" s="55" t="s">
        <v>686</v>
      </c>
      <c r="F1163" s="55" t="s">
        <v>209</v>
      </c>
      <c r="G1163" s="55" t="s">
        <v>362</v>
      </c>
      <c r="H1163" s="56">
        <v>13.6</v>
      </c>
    </row>
    <row r="1164" spans="1:8" ht="14">
      <c r="A1164" s="54" t="s">
        <v>589</v>
      </c>
      <c r="B1164" s="55" t="s">
        <v>452</v>
      </c>
      <c r="C1164" s="55" t="s">
        <v>246</v>
      </c>
      <c r="D1164" s="55" t="s">
        <v>685</v>
      </c>
      <c r="E1164" s="55" t="s">
        <v>686</v>
      </c>
      <c r="F1164" s="55" t="s">
        <v>209</v>
      </c>
      <c r="G1164" s="55" t="s">
        <v>483</v>
      </c>
      <c r="H1164" s="56">
        <v>14.79</v>
      </c>
    </row>
    <row r="1165" spans="1:8" ht="14">
      <c r="A1165" s="54" t="s">
        <v>589</v>
      </c>
      <c r="B1165" s="55" t="s">
        <v>452</v>
      </c>
      <c r="C1165" s="55" t="s">
        <v>246</v>
      </c>
      <c r="D1165" s="55" t="s">
        <v>685</v>
      </c>
      <c r="E1165" s="55" t="s">
        <v>687</v>
      </c>
      <c r="F1165" s="55" t="s">
        <v>209</v>
      </c>
      <c r="G1165" s="55" t="s">
        <v>362</v>
      </c>
      <c r="H1165" s="56">
        <v>13.6</v>
      </c>
    </row>
    <row r="1166" spans="1:8" ht="14">
      <c r="A1166" s="54" t="s">
        <v>589</v>
      </c>
      <c r="B1166" s="55" t="s">
        <v>452</v>
      </c>
      <c r="C1166" s="55" t="s">
        <v>246</v>
      </c>
      <c r="D1166" s="55" t="s">
        <v>685</v>
      </c>
      <c r="E1166" s="55" t="s">
        <v>687</v>
      </c>
      <c r="F1166" s="55" t="s">
        <v>209</v>
      </c>
      <c r="G1166" s="55" t="s">
        <v>483</v>
      </c>
      <c r="H1166" s="56">
        <v>14.79</v>
      </c>
    </row>
    <row r="1167" spans="1:8" ht="14">
      <c r="A1167" s="54" t="s">
        <v>589</v>
      </c>
      <c r="B1167" s="55" t="s">
        <v>452</v>
      </c>
      <c r="C1167" s="55" t="s">
        <v>246</v>
      </c>
      <c r="D1167" s="55" t="s">
        <v>685</v>
      </c>
      <c r="E1167" s="55" t="s">
        <v>688</v>
      </c>
      <c r="F1167" s="55" t="s">
        <v>209</v>
      </c>
      <c r="G1167" s="55" t="s">
        <v>362</v>
      </c>
      <c r="H1167" s="56">
        <v>10.14</v>
      </c>
    </row>
    <row r="1168" spans="1:8" ht="14">
      <c r="A1168" s="54" t="s">
        <v>589</v>
      </c>
      <c r="B1168" s="55" t="s">
        <v>452</v>
      </c>
      <c r="C1168" s="55" t="s">
        <v>246</v>
      </c>
      <c r="D1168" s="55" t="s">
        <v>685</v>
      </c>
      <c r="E1168" s="55" t="s">
        <v>688</v>
      </c>
      <c r="F1168" s="55" t="s">
        <v>209</v>
      </c>
      <c r="G1168" s="55" t="s">
        <v>457</v>
      </c>
      <c r="H1168" s="56">
        <v>10.72</v>
      </c>
    </row>
    <row r="1169" spans="1:8" ht="14">
      <c r="A1169" s="54" t="s">
        <v>589</v>
      </c>
      <c r="B1169" s="55" t="s">
        <v>452</v>
      </c>
      <c r="C1169" s="55" t="s">
        <v>246</v>
      </c>
      <c r="D1169" s="55" t="s">
        <v>685</v>
      </c>
      <c r="E1169" s="55" t="s">
        <v>689</v>
      </c>
      <c r="F1169" s="55" t="s">
        <v>209</v>
      </c>
      <c r="G1169" s="55" t="s">
        <v>362</v>
      </c>
      <c r="H1169" s="56">
        <v>11.52</v>
      </c>
    </row>
    <row r="1170" spans="1:8" ht="14">
      <c r="A1170" s="54" t="s">
        <v>589</v>
      </c>
      <c r="B1170" s="55" t="s">
        <v>452</v>
      </c>
      <c r="C1170" s="55" t="s">
        <v>246</v>
      </c>
      <c r="D1170" s="55" t="s">
        <v>685</v>
      </c>
      <c r="E1170" s="55" t="s">
        <v>689</v>
      </c>
      <c r="F1170" s="55" t="s">
        <v>209</v>
      </c>
      <c r="G1170" s="55" t="s">
        <v>482</v>
      </c>
      <c r="H1170" s="56">
        <v>14.49</v>
      </c>
    </row>
    <row r="1171" spans="1:8" ht="14">
      <c r="A1171" s="54" t="s">
        <v>589</v>
      </c>
      <c r="B1171" s="55" t="s">
        <v>452</v>
      </c>
      <c r="C1171" s="55" t="s">
        <v>246</v>
      </c>
      <c r="D1171" s="55" t="s">
        <v>685</v>
      </c>
      <c r="E1171" s="55" t="s">
        <v>689</v>
      </c>
      <c r="F1171" s="55" t="s">
        <v>209</v>
      </c>
      <c r="G1171" s="55" t="s">
        <v>457</v>
      </c>
      <c r="H1171" s="56">
        <v>12.71</v>
      </c>
    </row>
    <row r="1172" spans="1:8" ht="14">
      <c r="A1172" s="54" t="s">
        <v>589</v>
      </c>
      <c r="B1172" s="55" t="s">
        <v>452</v>
      </c>
      <c r="C1172" s="55" t="s">
        <v>246</v>
      </c>
      <c r="D1172" s="55" t="s">
        <v>685</v>
      </c>
      <c r="E1172" s="55" t="s">
        <v>689</v>
      </c>
      <c r="F1172" s="55" t="s">
        <v>209</v>
      </c>
      <c r="G1172" s="55" t="s">
        <v>690</v>
      </c>
      <c r="H1172" s="56">
        <v>18.05</v>
      </c>
    </row>
    <row r="1173" spans="1:8" ht="14">
      <c r="A1173" s="54" t="s">
        <v>589</v>
      </c>
      <c r="B1173" s="55" t="s">
        <v>452</v>
      </c>
      <c r="C1173" s="55" t="s">
        <v>246</v>
      </c>
      <c r="D1173" s="55" t="s">
        <v>685</v>
      </c>
      <c r="E1173" s="55" t="s">
        <v>689</v>
      </c>
      <c r="F1173" s="55" t="s">
        <v>209</v>
      </c>
      <c r="G1173" s="55" t="s">
        <v>647</v>
      </c>
      <c r="H1173" s="56">
        <v>13.8</v>
      </c>
    </row>
    <row r="1174" spans="1:8" ht="14">
      <c r="A1174" s="54" t="s">
        <v>589</v>
      </c>
      <c r="B1174" s="55" t="s">
        <v>452</v>
      </c>
      <c r="C1174" s="55" t="s">
        <v>246</v>
      </c>
      <c r="D1174" s="55" t="s">
        <v>685</v>
      </c>
      <c r="E1174" s="55" t="s">
        <v>689</v>
      </c>
      <c r="F1174" s="55" t="s">
        <v>209</v>
      </c>
      <c r="G1174" s="55" t="s">
        <v>691</v>
      </c>
      <c r="H1174" s="56">
        <v>18.05</v>
      </c>
    </row>
    <row r="1175" spans="1:8" ht="14">
      <c r="A1175" s="54" t="s">
        <v>589</v>
      </c>
      <c r="B1175" s="55" t="s">
        <v>452</v>
      </c>
      <c r="C1175" s="55" t="s">
        <v>246</v>
      </c>
      <c r="D1175" s="55" t="s">
        <v>685</v>
      </c>
      <c r="E1175" s="55" t="s">
        <v>692</v>
      </c>
      <c r="F1175" s="55" t="s">
        <v>209</v>
      </c>
      <c r="G1175" s="55" t="s">
        <v>362</v>
      </c>
      <c r="H1175" s="56">
        <v>13.23</v>
      </c>
    </row>
    <row r="1176" spans="1:8" ht="14">
      <c r="A1176" s="54" t="s">
        <v>589</v>
      </c>
      <c r="B1176" s="55" t="s">
        <v>452</v>
      </c>
      <c r="C1176" s="55" t="s">
        <v>246</v>
      </c>
      <c r="D1176" s="55" t="s">
        <v>685</v>
      </c>
      <c r="E1176" s="55" t="s">
        <v>692</v>
      </c>
      <c r="F1176" s="55" t="s">
        <v>209</v>
      </c>
      <c r="G1176" s="55" t="s">
        <v>482</v>
      </c>
      <c r="H1176" s="56">
        <v>13.23</v>
      </c>
    </row>
    <row r="1177" spans="1:8" ht="14">
      <c r="A1177" s="54" t="s">
        <v>589</v>
      </c>
      <c r="B1177" s="55" t="s">
        <v>452</v>
      </c>
      <c r="C1177" s="55" t="s">
        <v>246</v>
      </c>
      <c r="D1177" s="55" t="s">
        <v>685</v>
      </c>
      <c r="E1177" s="55" t="s">
        <v>692</v>
      </c>
      <c r="F1177" s="55" t="s">
        <v>209</v>
      </c>
      <c r="G1177" s="55" t="s">
        <v>457</v>
      </c>
      <c r="H1177" s="56">
        <v>13.23</v>
      </c>
    </row>
    <row r="1178" spans="1:8" ht="14">
      <c r="A1178" s="54" t="s">
        <v>589</v>
      </c>
      <c r="B1178" s="55" t="s">
        <v>452</v>
      </c>
      <c r="C1178" s="55" t="s">
        <v>246</v>
      </c>
      <c r="D1178" s="55" t="s">
        <v>685</v>
      </c>
      <c r="E1178" s="55" t="s">
        <v>692</v>
      </c>
      <c r="F1178" s="55" t="s">
        <v>209</v>
      </c>
      <c r="G1178" s="55" t="s">
        <v>483</v>
      </c>
      <c r="H1178" s="56">
        <v>13.23</v>
      </c>
    </row>
    <row r="1179" spans="1:8" ht="14">
      <c r="A1179" s="54" t="s">
        <v>589</v>
      </c>
      <c r="B1179" s="55" t="s">
        <v>452</v>
      </c>
      <c r="C1179" s="55" t="s">
        <v>246</v>
      </c>
      <c r="D1179" s="55" t="s">
        <v>685</v>
      </c>
      <c r="E1179" s="55" t="s">
        <v>692</v>
      </c>
      <c r="F1179" s="55" t="s">
        <v>209</v>
      </c>
      <c r="G1179" s="55" t="s">
        <v>220</v>
      </c>
      <c r="H1179" s="56">
        <v>13.23</v>
      </c>
    </row>
    <row r="1180" spans="1:8" ht="14">
      <c r="A1180" s="54" t="s">
        <v>589</v>
      </c>
      <c r="B1180" s="55" t="s">
        <v>452</v>
      </c>
      <c r="C1180" s="55" t="s">
        <v>246</v>
      </c>
      <c r="D1180" s="55" t="s">
        <v>685</v>
      </c>
      <c r="E1180" s="55" t="s">
        <v>692</v>
      </c>
      <c r="F1180" s="55" t="s">
        <v>209</v>
      </c>
      <c r="G1180" s="55" t="s">
        <v>334</v>
      </c>
      <c r="H1180" s="56">
        <v>15.68</v>
      </c>
    </row>
    <row r="1181" spans="1:8" ht="14">
      <c r="A1181" s="54" t="s">
        <v>589</v>
      </c>
      <c r="B1181" s="55" t="s">
        <v>452</v>
      </c>
      <c r="C1181" s="55" t="s">
        <v>246</v>
      </c>
      <c r="D1181" s="55" t="s">
        <v>685</v>
      </c>
      <c r="E1181" s="55" t="s">
        <v>692</v>
      </c>
      <c r="F1181" s="55" t="s">
        <v>209</v>
      </c>
      <c r="G1181" s="55" t="s">
        <v>458</v>
      </c>
      <c r="H1181" s="56">
        <v>15.68</v>
      </c>
    </row>
    <row r="1182" spans="1:8" ht="14">
      <c r="A1182" s="54" t="s">
        <v>589</v>
      </c>
      <c r="B1182" s="55" t="s">
        <v>452</v>
      </c>
      <c r="C1182" s="55" t="s">
        <v>246</v>
      </c>
      <c r="D1182" s="55" t="s">
        <v>685</v>
      </c>
      <c r="E1182" s="55" t="s">
        <v>693</v>
      </c>
      <c r="F1182" s="55" t="s">
        <v>209</v>
      </c>
      <c r="G1182" s="55" t="s">
        <v>482</v>
      </c>
      <c r="H1182" s="56">
        <v>14.49</v>
      </c>
    </row>
    <row r="1183" spans="1:8" ht="14">
      <c r="A1183" s="54" t="s">
        <v>589</v>
      </c>
      <c r="B1183" s="55" t="s">
        <v>452</v>
      </c>
      <c r="C1183" s="55" t="s">
        <v>246</v>
      </c>
      <c r="D1183" s="55" t="s">
        <v>685</v>
      </c>
      <c r="E1183" s="55" t="s">
        <v>693</v>
      </c>
      <c r="F1183" s="55" t="s">
        <v>209</v>
      </c>
      <c r="G1183" s="55" t="s">
        <v>647</v>
      </c>
      <c r="H1183" s="56">
        <v>13.8</v>
      </c>
    </row>
    <row r="1184" spans="1:8" ht="14">
      <c r="A1184" s="54" t="s">
        <v>589</v>
      </c>
      <c r="B1184" s="55" t="s">
        <v>452</v>
      </c>
      <c r="C1184" s="55" t="s">
        <v>246</v>
      </c>
      <c r="D1184" s="55" t="s">
        <v>685</v>
      </c>
      <c r="E1184" s="55" t="s">
        <v>694</v>
      </c>
      <c r="F1184" s="55" t="s">
        <v>209</v>
      </c>
      <c r="G1184" s="55" t="s">
        <v>362</v>
      </c>
      <c r="H1184" s="56">
        <v>12.54</v>
      </c>
    </row>
    <row r="1185" spans="1:8" ht="14">
      <c r="A1185" s="54" t="s">
        <v>589</v>
      </c>
      <c r="B1185" s="55" t="s">
        <v>452</v>
      </c>
      <c r="C1185" s="55" t="s">
        <v>246</v>
      </c>
      <c r="D1185" s="55" t="s">
        <v>685</v>
      </c>
      <c r="E1185" s="55" t="s">
        <v>694</v>
      </c>
      <c r="F1185" s="55" t="s">
        <v>209</v>
      </c>
      <c r="G1185" s="55" t="s">
        <v>483</v>
      </c>
      <c r="H1185" s="56">
        <v>12.97</v>
      </c>
    </row>
    <row r="1186" spans="1:8" ht="14">
      <c r="A1186" s="54" t="s">
        <v>589</v>
      </c>
      <c r="B1186" s="55" t="s">
        <v>452</v>
      </c>
      <c r="C1186" s="55" t="s">
        <v>246</v>
      </c>
      <c r="D1186" s="55" t="s">
        <v>685</v>
      </c>
      <c r="E1186" s="55" t="s">
        <v>694</v>
      </c>
      <c r="F1186" s="55" t="s">
        <v>209</v>
      </c>
      <c r="G1186" s="55" t="s">
        <v>220</v>
      </c>
      <c r="H1186" s="56">
        <v>13.11</v>
      </c>
    </row>
    <row r="1187" spans="1:8" ht="14">
      <c r="A1187" s="54" t="s">
        <v>589</v>
      </c>
      <c r="B1187" s="55" t="s">
        <v>452</v>
      </c>
      <c r="C1187" s="55" t="s">
        <v>246</v>
      </c>
      <c r="D1187" s="55" t="s">
        <v>685</v>
      </c>
      <c r="E1187" s="55" t="s">
        <v>695</v>
      </c>
      <c r="F1187" s="55" t="s">
        <v>209</v>
      </c>
      <c r="G1187" s="55" t="s">
        <v>482</v>
      </c>
      <c r="H1187" s="56">
        <v>15.93</v>
      </c>
    </row>
    <row r="1188" spans="1:8" ht="14">
      <c r="A1188" s="54" t="s">
        <v>589</v>
      </c>
      <c r="B1188" s="55" t="s">
        <v>452</v>
      </c>
      <c r="C1188" s="55" t="s">
        <v>246</v>
      </c>
      <c r="D1188" s="55" t="s">
        <v>685</v>
      </c>
      <c r="E1188" s="55" t="s">
        <v>695</v>
      </c>
      <c r="F1188" s="55" t="s">
        <v>209</v>
      </c>
      <c r="G1188" s="55" t="s">
        <v>647</v>
      </c>
      <c r="H1188" s="56">
        <v>13.8</v>
      </c>
    </row>
    <row r="1189" spans="1:8" ht="14">
      <c r="A1189" s="54" t="s">
        <v>589</v>
      </c>
      <c r="B1189" s="55" t="s">
        <v>452</v>
      </c>
      <c r="C1189" s="55" t="s">
        <v>246</v>
      </c>
      <c r="D1189" s="55" t="s">
        <v>685</v>
      </c>
      <c r="E1189" s="55" t="s">
        <v>696</v>
      </c>
      <c r="F1189" s="55" t="s">
        <v>209</v>
      </c>
      <c r="G1189" s="55" t="s">
        <v>362</v>
      </c>
      <c r="H1189" s="56">
        <v>10.14</v>
      </c>
    </row>
    <row r="1190" spans="1:8" ht="14">
      <c r="A1190" s="54" t="s">
        <v>589</v>
      </c>
      <c r="B1190" s="55" t="s">
        <v>452</v>
      </c>
      <c r="C1190" s="55" t="s">
        <v>246</v>
      </c>
      <c r="D1190" s="55" t="s">
        <v>685</v>
      </c>
      <c r="E1190" s="55" t="s">
        <v>696</v>
      </c>
      <c r="F1190" s="55" t="s">
        <v>209</v>
      </c>
      <c r="G1190" s="55" t="s">
        <v>482</v>
      </c>
      <c r="H1190" s="56">
        <v>10.7</v>
      </c>
    </row>
    <row r="1191" spans="1:8" ht="14">
      <c r="A1191" s="54" t="s">
        <v>589</v>
      </c>
      <c r="B1191" s="55" t="s">
        <v>452</v>
      </c>
      <c r="C1191" s="55" t="s">
        <v>246</v>
      </c>
      <c r="D1191" s="55" t="s">
        <v>685</v>
      </c>
      <c r="E1191" s="55" t="s">
        <v>696</v>
      </c>
      <c r="F1191" s="55" t="s">
        <v>209</v>
      </c>
      <c r="G1191" s="55" t="s">
        <v>457</v>
      </c>
      <c r="H1191" s="56">
        <v>10.14</v>
      </c>
    </row>
    <row r="1192" spans="1:8" ht="14">
      <c r="A1192" s="54" t="s">
        <v>589</v>
      </c>
      <c r="B1192" s="55" t="s">
        <v>452</v>
      </c>
      <c r="C1192" s="55" t="s">
        <v>246</v>
      </c>
      <c r="D1192" s="55" t="s">
        <v>685</v>
      </c>
      <c r="E1192" s="55" t="s">
        <v>696</v>
      </c>
      <c r="F1192" s="55" t="s">
        <v>209</v>
      </c>
      <c r="G1192" s="55" t="s">
        <v>483</v>
      </c>
      <c r="H1192" s="56">
        <v>10.14</v>
      </c>
    </row>
    <row r="1193" spans="1:8" ht="14">
      <c r="A1193" s="54" t="s">
        <v>589</v>
      </c>
      <c r="B1193" s="55" t="s">
        <v>452</v>
      </c>
      <c r="C1193" s="55" t="s">
        <v>246</v>
      </c>
      <c r="D1193" s="55" t="s">
        <v>685</v>
      </c>
      <c r="E1193" s="55" t="s">
        <v>696</v>
      </c>
      <c r="F1193" s="55" t="s">
        <v>209</v>
      </c>
      <c r="G1193" s="55" t="s">
        <v>220</v>
      </c>
      <c r="H1193" s="56">
        <v>12.41</v>
      </c>
    </row>
    <row r="1194" spans="1:8" ht="14">
      <c r="A1194" s="54" t="s">
        <v>589</v>
      </c>
      <c r="B1194" s="55" t="s">
        <v>452</v>
      </c>
      <c r="C1194" s="55" t="s">
        <v>246</v>
      </c>
      <c r="D1194" s="55" t="s">
        <v>685</v>
      </c>
      <c r="E1194" s="55" t="s">
        <v>696</v>
      </c>
      <c r="F1194" s="55" t="s">
        <v>209</v>
      </c>
      <c r="G1194" s="55" t="s">
        <v>334</v>
      </c>
      <c r="H1194" s="56">
        <v>11.83</v>
      </c>
    </row>
    <row r="1195" spans="1:8" ht="14">
      <c r="A1195" s="54" t="s">
        <v>589</v>
      </c>
      <c r="B1195" s="55" t="s">
        <v>452</v>
      </c>
      <c r="C1195" s="55" t="s">
        <v>246</v>
      </c>
      <c r="D1195" s="55" t="s">
        <v>685</v>
      </c>
      <c r="E1195" s="55" t="s">
        <v>696</v>
      </c>
      <c r="F1195" s="55" t="s">
        <v>209</v>
      </c>
      <c r="G1195" s="55" t="s">
        <v>458</v>
      </c>
      <c r="H1195" s="56">
        <v>12.19</v>
      </c>
    </row>
    <row r="1196" spans="1:8" ht="14">
      <c r="A1196" s="54" t="s">
        <v>589</v>
      </c>
      <c r="B1196" s="55" t="s">
        <v>452</v>
      </c>
      <c r="C1196" s="55" t="s">
        <v>246</v>
      </c>
      <c r="D1196" s="55" t="s">
        <v>685</v>
      </c>
      <c r="E1196" s="55" t="s">
        <v>697</v>
      </c>
      <c r="F1196" s="55" t="s">
        <v>209</v>
      </c>
      <c r="G1196" s="55" t="s">
        <v>362</v>
      </c>
      <c r="H1196" s="56">
        <v>12.56</v>
      </c>
    </row>
    <row r="1197" spans="1:8" ht="14">
      <c r="A1197" s="54" t="s">
        <v>589</v>
      </c>
      <c r="B1197" s="55" t="s">
        <v>452</v>
      </c>
      <c r="C1197" s="55" t="s">
        <v>246</v>
      </c>
      <c r="D1197" s="55" t="s">
        <v>685</v>
      </c>
      <c r="E1197" s="55" t="s">
        <v>697</v>
      </c>
      <c r="F1197" s="55" t="s">
        <v>209</v>
      </c>
      <c r="G1197" s="55" t="s">
        <v>483</v>
      </c>
      <c r="H1197" s="56">
        <v>13.13</v>
      </c>
    </row>
    <row r="1198" spans="1:8" ht="14">
      <c r="A1198" s="54" t="s">
        <v>589</v>
      </c>
      <c r="B1198" s="55" t="s">
        <v>452</v>
      </c>
      <c r="C1198" s="55" t="s">
        <v>246</v>
      </c>
      <c r="D1198" s="55" t="s">
        <v>685</v>
      </c>
      <c r="E1198" s="55" t="s">
        <v>698</v>
      </c>
      <c r="F1198" s="55" t="s">
        <v>209</v>
      </c>
      <c r="G1198" s="55" t="s">
        <v>362</v>
      </c>
      <c r="H1198" s="56">
        <v>10.41</v>
      </c>
    </row>
    <row r="1199" spans="1:8" ht="14">
      <c r="A1199" s="54" t="s">
        <v>589</v>
      </c>
      <c r="B1199" s="55" t="s">
        <v>452</v>
      </c>
      <c r="C1199" s="55" t="s">
        <v>246</v>
      </c>
      <c r="D1199" s="55" t="s">
        <v>685</v>
      </c>
      <c r="E1199" s="55" t="s">
        <v>698</v>
      </c>
      <c r="F1199" s="55" t="s">
        <v>209</v>
      </c>
      <c r="G1199" s="55" t="s">
        <v>483</v>
      </c>
      <c r="H1199" s="56">
        <v>10.41</v>
      </c>
    </row>
    <row r="1200" spans="1:8" ht="14">
      <c r="A1200" s="54" t="s">
        <v>589</v>
      </c>
      <c r="B1200" s="55" t="s">
        <v>452</v>
      </c>
      <c r="C1200" s="55" t="s">
        <v>246</v>
      </c>
      <c r="D1200" s="55" t="s">
        <v>685</v>
      </c>
      <c r="E1200" s="55" t="s">
        <v>699</v>
      </c>
      <c r="F1200" s="55" t="s">
        <v>209</v>
      </c>
      <c r="G1200" s="55" t="s">
        <v>362</v>
      </c>
      <c r="H1200" s="56">
        <v>13.6</v>
      </c>
    </row>
    <row r="1201" spans="1:8" ht="14">
      <c r="A1201" s="54" t="s">
        <v>589</v>
      </c>
      <c r="B1201" s="55" t="s">
        <v>452</v>
      </c>
      <c r="C1201" s="55" t="s">
        <v>246</v>
      </c>
      <c r="D1201" s="55" t="s">
        <v>685</v>
      </c>
      <c r="E1201" s="55" t="s">
        <v>699</v>
      </c>
      <c r="F1201" s="55" t="s">
        <v>209</v>
      </c>
      <c r="G1201" s="55" t="s">
        <v>483</v>
      </c>
      <c r="H1201" s="56">
        <v>13.6</v>
      </c>
    </row>
    <row r="1202" spans="1:8" ht="14">
      <c r="A1202" s="54" t="s">
        <v>589</v>
      </c>
      <c r="B1202" s="55" t="s">
        <v>452</v>
      </c>
      <c r="C1202" s="55" t="s">
        <v>246</v>
      </c>
      <c r="D1202" s="55" t="s">
        <v>685</v>
      </c>
      <c r="E1202" s="55" t="s">
        <v>700</v>
      </c>
      <c r="F1202" s="55" t="s">
        <v>209</v>
      </c>
      <c r="G1202" s="55" t="s">
        <v>362</v>
      </c>
      <c r="H1202" s="56">
        <v>15.09</v>
      </c>
    </row>
    <row r="1203" spans="1:8" ht="14">
      <c r="A1203" s="54" t="s">
        <v>589</v>
      </c>
      <c r="B1203" s="55" t="s">
        <v>452</v>
      </c>
      <c r="C1203" s="55" t="s">
        <v>246</v>
      </c>
      <c r="D1203" s="55" t="s">
        <v>685</v>
      </c>
      <c r="E1203" s="55" t="s">
        <v>700</v>
      </c>
      <c r="F1203" s="55" t="s">
        <v>209</v>
      </c>
      <c r="G1203" s="55" t="s">
        <v>483</v>
      </c>
      <c r="H1203" s="56">
        <v>15.09</v>
      </c>
    </row>
    <row r="1204" spans="1:8" ht="14">
      <c r="A1204" s="54" t="s">
        <v>589</v>
      </c>
      <c r="B1204" s="55" t="s">
        <v>452</v>
      </c>
      <c r="C1204" s="55" t="s">
        <v>246</v>
      </c>
      <c r="D1204" s="55" t="s">
        <v>685</v>
      </c>
      <c r="E1204" s="55" t="s">
        <v>701</v>
      </c>
      <c r="F1204" s="55" t="s">
        <v>209</v>
      </c>
      <c r="G1204" s="55" t="s">
        <v>362</v>
      </c>
      <c r="H1204" s="56">
        <v>13.98</v>
      </c>
    </row>
    <row r="1205" spans="1:8" ht="14">
      <c r="A1205" s="54" t="s">
        <v>589</v>
      </c>
      <c r="B1205" s="55" t="s">
        <v>452</v>
      </c>
      <c r="C1205" s="55" t="s">
        <v>246</v>
      </c>
      <c r="D1205" s="55" t="s">
        <v>685</v>
      </c>
      <c r="E1205" s="55" t="s">
        <v>701</v>
      </c>
      <c r="F1205" s="55" t="s">
        <v>209</v>
      </c>
      <c r="G1205" s="55" t="s">
        <v>482</v>
      </c>
      <c r="H1205" s="56">
        <v>15.93</v>
      </c>
    </row>
    <row r="1206" spans="1:8" ht="14">
      <c r="A1206" s="54" t="s">
        <v>589</v>
      </c>
      <c r="B1206" s="55" t="s">
        <v>452</v>
      </c>
      <c r="C1206" s="55" t="s">
        <v>246</v>
      </c>
      <c r="D1206" s="55" t="s">
        <v>685</v>
      </c>
      <c r="E1206" s="55" t="s">
        <v>701</v>
      </c>
      <c r="F1206" s="55" t="s">
        <v>209</v>
      </c>
      <c r="G1206" s="55" t="s">
        <v>483</v>
      </c>
      <c r="H1206" s="56">
        <v>14.31</v>
      </c>
    </row>
    <row r="1207" spans="1:8" ht="14">
      <c r="A1207" s="54" t="s">
        <v>589</v>
      </c>
      <c r="B1207" s="55" t="s">
        <v>452</v>
      </c>
      <c r="C1207" s="55" t="s">
        <v>246</v>
      </c>
      <c r="D1207" s="55" t="s">
        <v>685</v>
      </c>
      <c r="E1207" s="55" t="s">
        <v>701</v>
      </c>
      <c r="F1207" s="55" t="s">
        <v>209</v>
      </c>
      <c r="G1207" s="55" t="s">
        <v>647</v>
      </c>
      <c r="H1207" s="56">
        <v>15.93</v>
      </c>
    </row>
    <row r="1208" spans="1:8" ht="14">
      <c r="A1208" s="54" t="s">
        <v>589</v>
      </c>
      <c r="B1208" s="55" t="s">
        <v>452</v>
      </c>
      <c r="C1208" s="55" t="s">
        <v>246</v>
      </c>
      <c r="D1208" s="55" t="s">
        <v>685</v>
      </c>
      <c r="E1208" s="55" t="s">
        <v>702</v>
      </c>
      <c r="F1208" s="55" t="s">
        <v>209</v>
      </c>
      <c r="G1208" s="55" t="s">
        <v>362</v>
      </c>
      <c r="H1208" s="56">
        <v>9.56</v>
      </c>
    </row>
    <row r="1209" spans="1:8" ht="14">
      <c r="A1209" s="54" t="s">
        <v>589</v>
      </c>
      <c r="B1209" s="55" t="s">
        <v>452</v>
      </c>
      <c r="C1209" s="55" t="s">
        <v>246</v>
      </c>
      <c r="D1209" s="55" t="s">
        <v>685</v>
      </c>
      <c r="E1209" s="55" t="s">
        <v>702</v>
      </c>
      <c r="F1209" s="55" t="s">
        <v>209</v>
      </c>
      <c r="G1209" s="55" t="s">
        <v>483</v>
      </c>
      <c r="H1209" s="56">
        <v>9.84</v>
      </c>
    </row>
    <row r="1210" spans="1:8" ht="14">
      <c r="A1210" s="54" t="s">
        <v>589</v>
      </c>
      <c r="B1210" s="55" t="s">
        <v>452</v>
      </c>
      <c r="C1210" s="55" t="s">
        <v>246</v>
      </c>
      <c r="D1210" s="55" t="s">
        <v>685</v>
      </c>
      <c r="E1210" s="55" t="s">
        <v>703</v>
      </c>
      <c r="F1210" s="55" t="s">
        <v>209</v>
      </c>
      <c r="G1210" s="55" t="s">
        <v>362</v>
      </c>
      <c r="H1210" s="56">
        <v>13.6</v>
      </c>
    </row>
    <row r="1211" spans="1:8" ht="14">
      <c r="A1211" s="54" t="s">
        <v>589</v>
      </c>
      <c r="B1211" s="55" t="s">
        <v>452</v>
      </c>
      <c r="C1211" s="55" t="s">
        <v>246</v>
      </c>
      <c r="D1211" s="55" t="s">
        <v>685</v>
      </c>
      <c r="E1211" s="55" t="s">
        <v>703</v>
      </c>
      <c r="F1211" s="55" t="s">
        <v>209</v>
      </c>
      <c r="G1211" s="55" t="s">
        <v>483</v>
      </c>
      <c r="H1211" s="56">
        <v>13.6</v>
      </c>
    </row>
    <row r="1212" spans="1:8" ht="14">
      <c r="A1212" s="54" t="s">
        <v>203</v>
      </c>
      <c r="B1212" s="55" t="s">
        <v>204</v>
      </c>
      <c r="C1212" s="55" t="s">
        <v>205</v>
      </c>
      <c r="D1212" s="55">
        <v>0</v>
      </c>
      <c r="E1212" s="55" t="s">
        <v>499</v>
      </c>
      <c r="F1212" s="55" t="s">
        <v>209</v>
      </c>
      <c r="G1212" s="55" t="s">
        <v>226</v>
      </c>
      <c r="H1212" s="56">
        <v>5.92</v>
      </c>
    </row>
    <row r="1213" spans="1:8" ht="14">
      <c r="A1213" s="54" t="s">
        <v>203</v>
      </c>
      <c r="B1213" s="55" t="s">
        <v>204</v>
      </c>
      <c r="C1213" s="55" t="s">
        <v>205</v>
      </c>
      <c r="D1213" s="55">
        <v>0</v>
      </c>
      <c r="E1213" s="55" t="s">
        <v>499</v>
      </c>
      <c r="F1213" s="55" t="s">
        <v>207</v>
      </c>
      <c r="G1213" s="55" t="s">
        <v>704</v>
      </c>
      <c r="H1213" s="56">
        <v>3.93</v>
      </c>
    </row>
  </sheetData>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5"/>
  <sheetViews>
    <sheetView workbookViewId="0"/>
  </sheetViews>
  <sheetFormatPr baseColWidth="10" defaultRowHeight="12" x14ac:dyDescent="0"/>
  <sheetData>
    <row r="2" spans="1:2">
      <c r="A2" t="s">
        <v>203</v>
      </c>
      <c r="B2" t="s">
        <v>205</v>
      </c>
    </row>
    <row r="3" spans="1:2">
      <c r="A3" t="s">
        <v>292</v>
      </c>
      <c r="B3" t="s">
        <v>246</v>
      </c>
    </row>
    <row r="4" spans="1:2">
      <c r="A4" t="s">
        <v>492</v>
      </c>
      <c r="B4" t="s">
        <v>287</v>
      </c>
    </row>
    <row r="5" spans="1:2">
      <c r="A5" t="s">
        <v>589</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PKE 18 tile pricing</vt:lpstr>
      <vt:lpstr>Sheet1</vt:lpstr>
      <vt:lpstr>Tile Selections</vt:lpstr>
      <vt:lpstr>Temp</vt:lpstr>
    </vt:vector>
  </TitlesOfParts>
  <Company>Strathmore Floors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mherald</dc:creator>
  <cp:lastModifiedBy>Dillon Bostwick</cp:lastModifiedBy>
  <cp:lastPrinted>2013-05-30T16:59:21Z</cp:lastPrinted>
  <dcterms:created xsi:type="dcterms:W3CDTF">2013-04-26T20:14:03Z</dcterms:created>
  <dcterms:modified xsi:type="dcterms:W3CDTF">2016-05-04T20:38:22Z</dcterms:modified>
</cp:coreProperties>
</file>